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ngq\Desktop\5110-Financial Modeling\Group Project - 10-06\"/>
    </mc:Choice>
  </mc:AlternateContent>
  <xr:revisionPtr revIDLastSave="0" documentId="13_ncr:1_{2EE3BC9E-D020-4A99-8001-7773845F26A2}" xr6:coauthVersionLast="47" xr6:coauthVersionMax="47" xr10:uidLastSave="{00000000-0000-0000-0000-000000000000}"/>
  <bookViews>
    <workbookView xWindow="-98" yWindow="-98" windowWidth="21795" windowHeight="12975" tabRatio="601" xr2:uid="{00000000-000D-0000-FFFF-FFFF00000000}"/>
  </bookViews>
  <sheets>
    <sheet name="Assumptions " sheetId="12" r:id="rId1"/>
    <sheet name="Transaction Summary" sheetId="15" r:id="rId2"/>
    <sheet name="Income Statement " sheetId="11" r:id="rId3"/>
    <sheet name="Return" sheetId="16" r:id="rId4"/>
    <sheet name="Balance Sheet " sheetId="13" r:id="rId5"/>
    <sheet name="Debt &amp; Equity Schedule" sheetId="8" r:id="rId6"/>
    <sheet name="Statement of Cash Flow" sheetId="10" r:id="rId7"/>
    <sheet name="WC Schedule" sheetId="6" r:id="rId8"/>
    <sheet name="PPE Schedule" sheetId="7" r:id="rId9"/>
  </sheets>
  <externalReferences>
    <externalReference r:id="rId10"/>
    <externalReference r:id="rId11"/>
  </externalReferences>
  <definedNames>
    <definedName name="Breaker" localSheetId="0">'Assumptions '!$C$9</definedName>
    <definedName name="Breaker" localSheetId="3">'[1]Income Statement'!#REF!</definedName>
    <definedName name="Breaker" localSheetId="1">'[2]Income Statement'!#REF!</definedName>
    <definedName name="Breaker">#REF!</definedName>
    <definedName name="Days" localSheetId="3">'[1]WC Schedule'!$C$30</definedName>
    <definedName name="Days" localSheetId="1">'[2]WC Schedule'!$C$28</definedName>
    <definedName name="Days">'WC Schedule'!$C$29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DAILY_VOL" hidden="1">"c65"</definedName>
    <definedName name="IQ_AVG_EMPLOYEES" hidden="1">"c6019"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PRICE" hidden="1">"c2162"</definedName>
    <definedName name="IQ_BROK_COMISSION" hidden="1">"c98"</definedName>
    <definedName name="IQ_BROK_COMMISSION" hidden="1">"c3514"</definedName>
    <definedName name="IQ_BROKERED_DEPOSITS_FDIC" hidden="1">"c6486"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ST_BORROWING" hidden="1">"c2936"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COVERAGE_NET_CHARGE_OFFS_FDIC" hidden="1">"c6735"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XCL_SBC" hidden="1">"c3081"</definedName>
    <definedName name="IQ_EBITDA_INT" hidden="1">"c373"</definedName>
    <definedName name="IQ_EBITDA_MARGIN" hidden="1">"c372"</definedName>
    <definedName name="IQ_EBITDA_OVER_TOTAL_IE" hidden="1">"c1371"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UTI" hidden="1">"c390"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"c1348"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NORM" hidden="1">"c1902"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PAYOUT_RATIO" hidden="1">"c3492"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DAYS_REV_OUT" hidden="1">"c5993"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SALARIES_PCT_REV" hidden="1">"c5970"</definedName>
    <definedName name="IQ_HC_SUPPLIES_PCT_REV" hidden="1">"c5971"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S_DEBT_NET" hidden="1">"c1391"</definedName>
    <definedName name="IQ_ISS_STOCK_NET" hidden="1">"c1601"</definedName>
    <definedName name="IQ_ISSUED_GUARANTEED_US_FDIC" hidden="1">"c6404"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ONE_YEAR_LESS_FDIC" hidden="1">"c6425"</definedName>
    <definedName name="IQ_MC_RATIO" hidden="1">"c2783"</definedName>
    <definedName name="IQ_MC_STATUTORY_SURPLUS" hidden="1">"c2772"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NEY_MARKET_DEPOSIT_ACCOUNTS_FDIC" hidden="1">"c6553"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ULTIFAMILY_RESIDENTIAL_LOANS_FDIC" hidden="1">"c6311"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TRANSACTION_ACCOUNTS_FDIC" hidden="1">"c6552"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" hidden="1">"c6240"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NORMALIZED" hidden="1">"c2207"</definedName>
    <definedName name="IQ_PE_RATIO" hidden="1">"c1610"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RETURN_ASSETS_FDIC" hidden="1">"c6731"</definedName>
    <definedName name="IQ_PRICE_OVER_BVPS" hidden="1">"c1412"</definedName>
    <definedName name="IQ_PRICE_OVER_LTM_EPS" hidden="1">"c1413"</definedName>
    <definedName name="IQ_PRICEDATE" hidden="1">"c1069"</definedName>
    <definedName name="IQ_PRICING_DATE" hidden="1">"c1613"</definedName>
    <definedName name="IQ_PRIMARY_INDUSTRY" hidden="1">"c1070"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ISION_DATE_" hidden="1">39716.6338194444</definedName>
    <definedName name="IQ_RISK_ADJ_BANK_ASSETS" hidden="1">"c2670"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</definedNames>
  <calcPr calcId="191029" calcMode="autoNoTable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8" l="1"/>
  <c r="D26" i="16"/>
  <c r="J47" i="8"/>
  <c r="J65" i="8"/>
  <c r="J31" i="8"/>
  <c r="J59" i="8"/>
  <c r="J55" i="8"/>
  <c r="J76" i="8"/>
  <c r="J46" i="8"/>
  <c r="J38" i="8"/>
  <c r="J62" i="8"/>
  <c r="J33" i="8"/>
  <c r="J44" i="8"/>
  <c r="J75" i="8"/>
  <c r="J67" i="8"/>
  <c r="J32" i="8"/>
  <c r="J57" i="8"/>
  <c r="J54" i="8"/>
  <c r="J74" i="8"/>
  <c r="J49" i="8"/>
  <c r="J41" i="8"/>
  <c r="J61" i="8"/>
  <c r="J52" i="8"/>
  <c r="J73" i="8"/>
  <c r="J48" i="8"/>
  <c r="J72" i="8"/>
  <c r="J40" i="8"/>
  <c r="J26" i="8"/>
  <c r="E65" i="8" l="1"/>
  <c r="E67" i="8" s="1"/>
  <c r="F40" i="8"/>
  <c r="G40" i="8"/>
  <c r="H40" i="8"/>
  <c r="I40" i="8"/>
  <c r="E40" i="8"/>
  <c r="J12" i="8"/>
  <c r="N8" i="13"/>
  <c r="D17" i="15"/>
  <c r="D12" i="15"/>
  <c r="J8" i="16"/>
  <c r="E46" i="15"/>
  <c r="J20" i="8"/>
  <c r="J7" i="8"/>
  <c r="N29" i="13"/>
  <c r="D25" i="15"/>
  <c r="J13" i="8"/>
  <c r="J21" i="16"/>
  <c r="D13" i="15"/>
  <c r="J15" i="8"/>
  <c r="J22" i="8"/>
  <c r="E47" i="15"/>
  <c r="J10" i="8"/>
  <c r="J16" i="8"/>
  <c r="J12" i="16"/>
  <c r="D14" i="15"/>
  <c r="J28" i="8"/>
  <c r="E77" i="8"/>
  <c r="E34" i="8"/>
  <c r="E48" i="15"/>
  <c r="D30" i="15"/>
  <c r="O28" i="13"/>
  <c r="J11" i="8"/>
  <c r="J17" i="8"/>
  <c r="J11" i="16"/>
  <c r="J7" i="16"/>
  <c r="J27" i="8"/>
  <c r="N37" i="13"/>
  <c r="D29" i="15"/>
  <c r="N28" i="13"/>
  <c r="O23" i="13"/>
  <c r="N23" i="13"/>
  <c r="J9" i="8"/>
  <c r="J10" i="16"/>
  <c r="J6" i="8"/>
  <c r="J23" i="8"/>
  <c r="O37" i="13"/>
  <c r="J21" i="8"/>
  <c r="I20" i="15"/>
  <c r="D24" i="15"/>
  <c r="J8" i="8"/>
  <c r="D20" i="15"/>
  <c r="F22" i="8" l="1"/>
  <c r="G22" i="8"/>
  <c r="H22" i="8"/>
  <c r="I22" i="8"/>
  <c r="E22" i="8"/>
  <c r="E54" i="8" l="1"/>
  <c r="F54" i="8"/>
  <c r="G54" i="8"/>
  <c r="H54" i="8"/>
  <c r="I54" i="8"/>
  <c r="I47" i="8" l="1"/>
  <c r="H47" i="8"/>
  <c r="G47" i="8"/>
  <c r="F47" i="8"/>
  <c r="E47" i="8"/>
  <c r="I46" i="8"/>
  <c r="H46" i="8"/>
  <c r="G46" i="8"/>
  <c r="F46" i="8"/>
  <c r="E46" i="8"/>
  <c r="B51" i="8"/>
  <c r="F34" i="16" l="1"/>
  <c r="G34" i="16"/>
  <c r="H34" i="16"/>
  <c r="I34" i="16"/>
  <c r="J34" i="16"/>
  <c r="E34" i="16"/>
  <c r="D16" i="16"/>
  <c r="D15" i="16"/>
  <c r="K35" i="16"/>
  <c r="F7" i="16" l="1"/>
  <c r="G7" i="16"/>
  <c r="H7" i="16"/>
  <c r="I7" i="16"/>
  <c r="E7" i="16"/>
  <c r="G6" i="16"/>
  <c r="H6" i="16" s="1"/>
  <c r="F31" i="16"/>
  <c r="K32" i="16"/>
  <c r="J16" i="16"/>
  <c r="K34" i="16"/>
  <c r="K37" i="16"/>
  <c r="K38" i="16"/>
  <c r="K33" i="16"/>
  <c r="E26" i="16"/>
  <c r="J14" i="16"/>
  <c r="J15" i="16"/>
  <c r="I6" i="16" l="1"/>
  <c r="I8" i="16" s="1"/>
  <c r="H8" i="16"/>
  <c r="G8" i="16"/>
  <c r="G31" i="16"/>
  <c r="F6" i="16"/>
  <c r="H31" i="16" l="1"/>
  <c r="F8" i="16"/>
  <c r="E6" i="16"/>
  <c r="E8" i="16" l="1"/>
  <c r="B21" i="16" a="1"/>
  <c r="B21" i="16" s="1"/>
  <c r="I31" i="16"/>
  <c r="J31" i="16" l="1"/>
  <c r="D37" i="10" l="1"/>
  <c r="G37" i="13" l="1"/>
  <c r="C31" i="15"/>
  <c r="C13" i="15"/>
  <c r="C32" i="15" s="1"/>
  <c r="C14" i="15" l="1"/>
  <c r="C37" i="15" s="1"/>
  <c r="H15" i="15"/>
  <c r="G29" i="13"/>
  <c r="G28" i="13"/>
  <c r="G23" i="13"/>
  <c r="G8" i="13"/>
  <c r="I30" i="13"/>
  <c r="I31" i="13"/>
  <c r="I27" i="13"/>
  <c r="I22" i="13"/>
  <c r="I21" i="13"/>
  <c r="I9" i="13"/>
  <c r="I10" i="13"/>
  <c r="I11" i="13"/>
  <c r="I12" i="13"/>
  <c r="I13" i="13"/>
  <c r="I14" i="13"/>
  <c r="I15" i="13"/>
  <c r="I8" i="13"/>
  <c r="D33" i="8"/>
  <c r="I17" i="13" l="1"/>
  <c r="H20" i="15"/>
  <c r="C54" i="15" l="1"/>
  <c r="H16" i="15"/>
  <c r="G20" i="7"/>
  <c r="I12" i="12"/>
  <c r="I32" i="12" s="1"/>
  <c r="E6" i="6"/>
  <c r="D6" i="6" s="1"/>
  <c r="F6" i="6"/>
  <c r="G6" i="6"/>
  <c r="H6" i="6"/>
  <c r="I6" i="6"/>
  <c r="J6" i="6"/>
  <c r="G21" i="11"/>
  <c r="H21" i="11"/>
  <c r="I21" i="11"/>
  <c r="J21" i="11"/>
  <c r="F21" i="11"/>
  <c r="G20" i="11"/>
  <c r="H20" i="11"/>
  <c r="I20" i="11"/>
  <c r="J20" i="11"/>
  <c r="F20" i="11"/>
  <c r="C37" i="10"/>
  <c r="D76" i="8"/>
  <c r="B73" i="8"/>
  <c r="B64" i="8"/>
  <c r="B37" i="8"/>
  <c r="B32" i="8"/>
  <c r="B30" i="8"/>
  <c r="B30" i="10"/>
  <c r="B11" i="8" s="1"/>
  <c r="B29" i="10"/>
  <c r="B28" i="10"/>
  <c r="B27" i="10"/>
  <c r="B17" i="10"/>
  <c r="B22" i="10"/>
  <c r="B23" i="10"/>
  <c r="B21" i="10"/>
  <c r="B16" i="10"/>
  <c r="B15" i="10"/>
  <c r="E9" i="6"/>
  <c r="D9" i="6"/>
  <c r="B14" i="10"/>
  <c r="B13" i="10"/>
  <c r="B12" i="10"/>
  <c r="B11" i="10"/>
  <c r="B10" i="10"/>
  <c r="B9" i="10"/>
  <c r="F74" i="8"/>
  <c r="F9" i="8" s="1"/>
  <c r="G74" i="8"/>
  <c r="G9" i="8" s="1"/>
  <c r="H74" i="8"/>
  <c r="H9" i="8" s="1"/>
  <c r="I74" i="8"/>
  <c r="I9" i="8" s="1"/>
  <c r="E74" i="8"/>
  <c r="E9" i="8" s="1"/>
  <c r="E6" i="8"/>
  <c r="B2" i="8"/>
  <c r="G10" i="7"/>
  <c r="F10" i="7"/>
  <c r="B2" i="7"/>
  <c r="E18" i="6"/>
  <c r="D18" i="6"/>
  <c r="E13" i="6"/>
  <c r="E14" i="6"/>
  <c r="D13" i="6"/>
  <c r="D14" i="6"/>
  <c r="B2" i="6"/>
  <c r="B2" i="13"/>
  <c r="B2" i="10"/>
  <c r="E5" i="11"/>
  <c r="B2" i="11"/>
  <c r="D31" i="15"/>
  <c r="I15" i="15"/>
  <c r="D54" i="15"/>
  <c r="D55" i="15"/>
  <c r="I9" i="15"/>
  <c r="D40" i="15"/>
  <c r="D32" i="15"/>
  <c r="D57" i="15"/>
  <c r="D33" i="15"/>
  <c r="D56" i="15"/>
  <c r="I10" i="15"/>
  <c r="I16" i="15"/>
  <c r="I13" i="15"/>
  <c r="D38" i="15"/>
  <c r="D37" i="15"/>
  <c r="D39" i="15"/>
  <c r="D41" i="15"/>
  <c r="I11" i="15"/>
  <c r="C20" i="15" l="1"/>
  <c r="C29" i="15" s="1"/>
  <c r="D31" i="6"/>
  <c r="C39" i="15" l="1"/>
  <c r="E31" i="13"/>
  <c r="D31" i="13"/>
  <c r="E22" i="13"/>
  <c r="E19" i="6" s="1"/>
  <c r="D22" i="13"/>
  <c r="D19" i="6" s="1"/>
  <c r="D15" i="13"/>
  <c r="E15" i="13"/>
  <c r="D12" i="13"/>
  <c r="D15" i="6" s="1"/>
  <c r="E12" i="13"/>
  <c r="E15" i="6" s="1"/>
  <c r="E14" i="13"/>
  <c r="D14" i="13"/>
  <c r="D9" i="13"/>
  <c r="D12" i="6" s="1"/>
  <c r="E9" i="13"/>
  <c r="E32" i="13"/>
  <c r="C16" i="11"/>
  <c r="B14" i="11"/>
  <c r="F8" i="11"/>
  <c r="G8" i="11" s="1"/>
  <c r="H8" i="11" s="1"/>
  <c r="I8" i="11" s="1"/>
  <c r="J8" i="11" s="1"/>
  <c r="F7" i="11"/>
  <c r="G7" i="11" s="1"/>
  <c r="H7" i="11" s="1"/>
  <c r="I7" i="11" s="1"/>
  <c r="J7" i="11" s="1"/>
  <c r="D12" i="12"/>
  <c r="B3" i="12"/>
  <c r="B2" i="12"/>
  <c r="E16" i="11"/>
  <c r="E9" i="11"/>
  <c r="D9" i="11"/>
  <c r="C9" i="11"/>
  <c r="C12" i="11" s="1"/>
  <c r="C18" i="11" s="1"/>
  <c r="C23" i="11" s="1"/>
  <c r="C25" i="11" s="1"/>
  <c r="D5" i="11"/>
  <c r="C5" i="11" s="1"/>
  <c r="E12" i="6" l="1"/>
  <c r="D24" i="13"/>
  <c r="C46" i="15"/>
  <c r="E24" i="13"/>
  <c r="E34" i="13" s="1"/>
  <c r="E39" i="13" s="1"/>
  <c r="D12" i="11"/>
  <c r="D8" i="6"/>
  <c r="F12" i="7"/>
  <c r="D32" i="12"/>
  <c r="D6" i="10"/>
  <c r="H24" i="7"/>
  <c r="F5" i="11"/>
  <c r="E4" i="8"/>
  <c r="I6" i="13"/>
  <c r="E6" i="13" s="1"/>
  <c r="D6" i="13" s="1"/>
  <c r="E12" i="11"/>
  <c r="E18" i="11" s="1"/>
  <c r="E23" i="11" s="1"/>
  <c r="E25" i="11" s="1"/>
  <c r="E8" i="6"/>
  <c r="G12" i="7"/>
  <c r="B3" i="6"/>
  <c r="B3" i="11"/>
  <c r="B3" i="7"/>
  <c r="B3" i="13"/>
  <c r="D17" i="13"/>
  <c r="E17" i="13"/>
  <c r="D32" i="13"/>
  <c r="D16" i="11"/>
  <c r="D18" i="11" s="1"/>
  <c r="D23" i="11" s="1"/>
  <c r="D25" i="11" s="1"/>
  <c r="E12" i="12"/>
  <c r="G9" i="11"/>
  <c r="F9" i="11"/>
  <c r="D34" i="13" l="1"/>
  <c r="D39" i="13" s="1"/>
  <c r="D42" i="13" s="1"/>
  <c r="D17" i="10"/>
  <c r="F22" i="11"/>
  <c r="D29" i="10"/>
  <c r="J30" i="13"/>
  <c r="G22" i="11"/>
  <c r="J31" i="13"/>
  <c r="J27" i="13"/>
  <c r="E6" i="10"/>
  <c r="J6" i="13"/>
  <c r="G5" i="11"/>
  <c r="F4" i="8"/>
  <c r="E8" i="8"/>
  <c r="F8" i="6"/>
  <c r="F19" i="11"/>
  <c r="G19" i="11"/>
  <c r="J14" i="13"/>
  <c r="J15" i="13"/>
  <c r="F8" i="8"/>
  <c r="G8" i="6"/>
  <c r="G14" i="11"/>
  <c r="E42" i="13"/>
  <c r="F14" i="11"/>
  <c r="F11" i="11"/>
  <c r="G11" i="11"/>
  <c r="F12" i="12"/>
  <c r="E32" i="12"/>
  <c r="H9" i="11"/>
  <c r="E17" i="10" l="1"/>
  <c r="E29" i="10"/>
  <c r="E11" i="8"/>
  <c r="D30" i="10"/>
  <c r="K30" i="13"/>
  <c r="F17" i="10" s="1"/>
  <c r="K27" i="13"/>
  <c r="F29" i="10" s="1"/>
  <c r="H22" i="11"/>
  <c r="K31" i="13"/>
  <c r="E23" i="10"/>
  <c r="D23" i="10"/>
  <c r="E30" i="10"/>
  <c r="F11" i="8"/>
  <c r="E22" i="10"/>
  <c r="D22" i="10"/>
  <c r="F12" i="11"/>
  <c r="F9" i="6"/>
  <c r="G12" i="11"/>
  <c r="G9" i="6"/>
  <c r="H14" i="11"/>
  <c r="H8" i="6"/>
  <c r="K14" i="13"/>
  <c r="K15" i="13"/>
  <c r="G8" i="8"/>
  <c r="K6" i="13"/>
  <c r="F6" i="10"/>
  <c r="H5" i="11"/>
  <c r="G4" i="8"/>
  <c r="H11" i="11"/>
  <c r="H19" i="11"/>
  <c r="F32" i="12"/>
  <c r="G12" i="12"/>
  <c r="I9" i="11"/>
  <c r="D35" i="10"/>
  <c r="E31" i="8"/>
  <c r="H31" i="10"/>
  <c r="D31" i="10"/>
  <c r="E72" i="8"/>
  <c r="B10" i="8"/>
  <c r="B9" i="8"/>
  <c r="B32" i="10"/>
  <c r="B31" i="10"/>
  <c r="F30" i="10" l="1"/>
  <c r="G11" i="8"/>
  <c r="F23" i="10"/>
  <c r="L30" i="13"/>
  <c r="G17" i="10" s="1"/>
  <c r="L31" i="13"/>
  <c r="I22" i="11"/>
  <c r="L27" i="13"/>
  <c r="G29" i="10" s="1"/>
  <c r="F22" i="10"/>
  <c r="I8" i="6"/>
  <c r="H8" i="8"/>
  <c r="I14" i="11"/>
  <c r="L14" i="13"/>
  <c r="L15" i="13"/>
  <c r="H12" i="11"/>
  <c r="H9" i="6"/>
  <c r="H4" i="8"/>
  <c r="L6" i="13"/>
  <c r="G6" i="10"/>
  <c r="I5" i="11"/>
  <c r="F31" i="10"/>
  <c r="I11" i="11"/>
  <c r="I19" i="11"/>
  <c r="E31" i="10"/>
  <c r="G31" i="10"/>
  <c r="G32" i="12"/>
  <c r="H12" i="12"/>
  <c r="J9" i="11"/>
  <c r="M30" i="13" l="1"/>
  <c r="M27" i="13"/>
  <c r="M31" i="13"/>
  <c r="J22" i="11"/>
  <c r="H11" i="8"/>
  <c r="G30" i="10"/>
  <c r="G23" i="10"/>
  <c r="G22" i="10"/>
  <c r="H32" i="12"/>
  <c r="J5" i="11"/>
  <c r="I4" i="8"/>
  <c r="M6" i="13"/>
  <c r="H6" i="10"/>
  <c r="I12" i="11"/>
  <c r="I9" i="6"/>
  <c r="M14" i="13"/>
  <c r="J8" i="6"/>
  <c r="J14" i="11"/>
  <c r="M15" i="13"/>
  <c r="I8" i="8"/>
  <c r="J11" i="11"/>
  <c r="J19" i="11"/>
  <c r="H22" i="10" l="1"/>
  <c r="H29" i="10"/>
  <c r="H17" i="10"/>
  <c r="H23" i="10"/>
  <c r="I11" i="8"/>
  <c r="H30" i="10"/>
  <c r="J12" i="11"/>
  <c r="J9" i="6"/>
  <c r="E31" i="6"/>
  <c r="E35" i="6"/>
  <c r="H7" i="7"/>
  <c r="E26" i="7" l="1"/>
  <c r="E30" i="7"/>
  <c r="G18" i="7"/>
  <c r="C25" i="7" s="1"/>
  <c r="E29" i="7"/>
  <c r="E28" i="7"/>
  <c r="E27" i="7"/>
  <c r="D32" i="6" l="1"/>
  <c r="D37" i="6"/>
  <c r="E32" i="6"/>
  <c r="E37" i="6"/>
  <c r="F31" i="6"/>
  <c r="D35" i="6"/>
  <c r="F35" i="6" s="1"/>
  <c r="H12" i="7"/>
  <c r="H8" i="7" s="1"/>
  <c r="D21" i="10" l="1"/>
  <c r="D24" i="10" s="1"/>
  <c r="G35" i="6"/>
  <c r="G31" i="6"/>
  <c r="I12" i="7"/>
  <c r="I8" i="7" s="1"/>
  <c r="E21" i="10" s="1"/>
  <c r="F37" i="6"/>
  <c r="F20" i="6" s="1"/>
  <c r="F32" i="6"/>
  <c r="D36" i="6"/>
  <c r="D21" i="6"/>
  <c r="I24" i="7"/>
  <c r="J24" i="7" l="1"/>
  <c r="E36" i="6"/>
  <c r="E21" i="6"/>
  <c r="H31" i="6"/>
  <c r="D33" i="6"/>
  <c r="G13" i="6"/>
  <c r="H35" i="6"/>
  <c r="E33" i="6"/>
  <c r="G37" i="6"/>
  <c r="F14" i="6"/>
  <c r="J12" i="7"/>
  <c r="G32" i="6"/>
  <c r="H32" i="6" s="1"/>
  <c r="K24" i="7" l="1"/>
  <c r="I35" i="6"/>
  <c r="J35" i="6" s="1"/>
  <c r="I31" i="6"/>
  <c r="J31" i="6" s="1"/>
  <c r="K12" i="7"/>
  <c r="J8" i="7"/>
  <c r="H37" i="6"/>
  <c r="G20" i="6"/>
  <c r="J10" i="13"/>
  <c r="G18" i="6"/>
  <c r="I32" i="6"/>
  <c r="I14" i="6" s="1"/>
  <c r="G14" i="6"/>
  <c r="L12" i="7"/>
  <c r="L8" i="7" s="1"/>
  <c r="H21" i="10" s="1"/>
  <c r="H13" i="6"/>
  <c r="F18" i="6"/>
  <c r="F13" i="6"/>
  <c r="D12" i="10" s="1"/>
  <c r="F33" i="6"/>
  <c r="G33" i="6" s="1"/>
  <c r="F36" i="6"/>
  <c r="G36" i="6" s="1"/>
  <c r="H14" i="6"/>
  <c r="H18" i="6"/>
  <c r="K21" i="13" s="1"/>
  <c r="B25" i="7"/>
  <c r="G25" i="7" s="1"/>
  <c r="B26" i="7"/>
  <c r="G26" i="7" s="1"/>
  <c r="L24" i="7" l="1"/>
  <c r="H20" i="6"/>
  <c r="D15" i="10"/>
  <c r="J32" i="6"/>
  <c r="F21" i="10"/>
  <c r="D13" i="10"/>
  <c r="I37" i="6"/>
  <c r="K8" i="7"/>
  <c r="G21" i="10" s="1"/>
  <c r="K11" i="13"/>
  <c r="J11" i="13"/>
  <c r="L11" i="13"/>
  <c r="J21" i="13"/>
  <c r="E15" i="10" s="1"/>
  <c r="K10" i="13"/>
  <c r="J13" i="6"/>
  <c r="G15" i="6"/>
  <c r="J18" i="6"/>
  <c r="M21" i="13" s="1"/>
  <c r="G19" i="6"/>
  <c r="J22" i="13" s="1"/>
  <c r="I25" i="7"/>
  <c r="J25" i="7"/>
  <c r="K25" i="7"/>
  <c r="L25" i="7"/>
  <c r="H25" i="7"/>
  <c r="H36" i="6"/>
  <c r="F19" i="6"/>
  <c r="H33" i="6"/>
  <c r="F15" i="6"/>
  <c r="I20" i="6" l="1"/>
  <c r="J37" i="6"/>
  <c r="J20" i="6" s="1"/>
  <c r="J14" i="6"/>
  <c r="I33" i="6"/>
  <c r="J33" i="6" s="1"/>
  <c r="J15" i="6" s="1"/>
  <c r="C26" i="7" a="1"/>
  <c r="F13" i="10"/>
  <c r="E12" i="10"/>
  <c r="G13" i="10"/>
  <c r="F12" i="10"/>
  <c r="E13" i="10"/>
  <c r="F15" i="10"/>
  <c r="M11" i="13"/>
  <c r="J12" i="13"/>
  <c r="M10" i="13"/>
  <c r="G21" i="6"/>
  <c r="F21" i="6"/>
  <c r="I13" i="6"/>
  <c r="I18" i="6"/>
  <c r="L21" i="13" s="1"/>
  <c r="G15" i="10" s="1"/>
  <c r="H15" i="6"/>
  <c r="H19" i="6"/>
  <c r="K22" i="13" s="1"/>
  <c r="F16" i="10" s="1"/>
  <c r="I36" i="6"/>
  <c r="C26" i="7" l="1"/>
  <c r="K26" i="7" s="1"/>
  <c r="I19" i="6"/>
  <c r="L22" i="13" s="1"/>
  <c r="G16" i="10" s="1"/>
  <c r="I15" i="6"/>
  <c r="L12" i="13" s="1"/>
  <c r="J36" i="6"/>
  <c r="H13" i="10"/>
  <c r="J26" i="7"/>
  <c r="L26" i="7"/>
  <c r="H26" i="7"/>
  <c r="I26" i="7"/>
  <c r="D16" i="10"/>
  <c r="E14" i="10"/>
  <c r="D14" i="10"/>
  <c r="E16" i="10"/>
  <c r="H15" i="10"/>
  <c r="M12" i="13"/>
  <c r="K12" i="13"/>
  <c r="L10" i="13"/>
  <c r="H21" i="6"/>
  <c r="I21" i="6" l="1"/>
  <c r="J19" i="6"/>
  <c r="J21" i="6" s="1"/>
  <c r="G14" i="10"/>
  <c r="H14" i="10"/>
  <c r="H12" i="10"/>
  <c r="G12" i="10"/>
  <c r="F14" i="10"/>
  <c r="D30" i="6"/>
  <c r="M22" i="13" l="1"/>
  <c r="H16" i="10" s="1"/>
  <c r="D16" i="6"/>
  <c r="E16" i="6" l="1"/>
  <c r="E30" i="6"/>
  <c r="F30" i="6" l="1"/>
  <c r="F12" i="6" s="1"/>
  <c r="D11" i="10" s="1"/>
  <c r="F16" i="6" l="1"/>
  <c r="G30" i="6"/>
  <c r="H30" i="6" l="1"/>
  <c r="G12" i="6"/>
  <c r="J9" i="13" s="1"/>
  <c r="E24" i="10"/>
  <c r="G24" i="10"/>
  <c r="I30" i="6" l="1"/>
  <c r="J30" i="6" s="1"/>
  <c r="J12" i="6" s="1"/>
  <c r="M9" i="13" s="1"/>
  <c r="E11" i="10"/>
  <c r="G16" i="6"/>
  <c r="F24" i="10"/>
  <c r="H24" i="10"/>
  <c r="H12" i="6"/>
  <c r="K9" i="13" s="1"/>
  <c r="I12" i="6" l="1"/>
  <c r="F11" i="10"/>
  <c r="J16" i="6"/>
  <c r="H16" i="6"/>
  <c r="H6" i="7"/>
  <c r="L9" i="13" l="1"/>
  <c r="I16" i="6"/>
  <c r="G6" i="7"/>
  <c r="F6" i="7" s="1"/>
  <c r="I6" i="7"/>
  <c r="B27" i="7"/>
  <c r="G27" i="7" s="1"/>
  <c r="H27" i="7" l="1"/>
  <c r="J27" i="7"/>
  <c r="I27" i="7"/>
  <c r="L27" i="7"/>
  <c r="K27" i="7"/>
  <c r="G11" i="10"/>
  <c r="H11" i="10"/>
  <c r="J6" i="7"/>
  <c r="B28" i="7"/>
  <c r="G28" i="7" s="1"/>
  <c r="H28" i="7" l="1"/>
  <c r="I28" i="7"/>
  <c r="L28" i="7"/>
  <c r="J28" i="7"/>
  <c r="K28" i="7"/>
  <c r="B29" i="7"/>
  <c r="G29" i="7" s="1"/>
  <c r="K6" i="7"/>
  <c r="I29" i="7" l="1"/>
  <c r="J29" i="7"/>
  <c r="H29" i="7"/>
  <c r="K29" i="7"/>
  <c r="L29" i="7"/>
  <c r="B30" i="7"/>
  <c r="G30" i="7" s="1"/>
  <c r="L6" i="7"/>
  <c r="K30" i="7" l="1"/>
  <c r="I30" i="7"/>
  <c r="J30" i="7"/>
  <c r="H30" i="7"/>
  <c r="L30" i="7"/>
  <c r="L31" i="7" s="1"/>
  <c r="H31" i="7"/>
  <c r="K31" i="7"/>
  <c r="J31" i="7"/>
  <c r="I31" i="7"/>
  <c r="I9" i="7" l="1"/>
  <c r="J9" i="7"/>
  <c r="L9" i="7"/>
  <c r="K9" i="7"/>
  <c r="H9" i="7"/>
  <c r="F15" i="11" s="1"/>
  <c r="E36" i="8"/>
  <c r="E70" i="8" s="1"/>
  <c r="F36" i="8"/>
  <c r="F70" i="8" s="1"/>
  <c r="F16" i="11" l="1"/>
  <c r="F18" i="11" s="1"/>
  <c r="C12" i="15" s="1"/>
  <c r="D10" i="10"/>
  <c r="I15" i="11"/>
  <c r="G10" i="10" s="1"/>
  <c r="J15" i="11"/>
  <c r="H10" i="10" s="1"/>
  <c r="H15" i="11"/>
  <c r="F10" i="10" s="1"/>
  <c r="G15" i="11"/>
  <c r="E10" i="10" s="1"/>
  <c r="H10" i="7"/>
  <c r="G36" i="8"/>
  <c r="G70" i="8" s="1"/>
  <c r="C38" i="15" l="1"/>
  <c r="H9" i="15"/>
  <c r="F23" i="11"/>
  <c r="F24" i="11" s="1"/>
  <c r="F25" i="11" s="1"/>
  <c r="J16" i="11"/>
  <c r="J18" i="11" s="1"/>
  <c r="G16" i="11"/>
  <c r="G18" i="11" s="1"/>
  <c r="I16" i="11"/>
  <c r="I18" i="11" s="1"/>
  <c r="H16" i="11"/>
  <c r="H18" i="11" s="1"/>
  <c r="I7" i="7"/>
  <c r="I10" i="7" s="1"/>
  <c r="J13" i="13" s="1"/>
  <c r="H36" i="8"/>
  <c r="H70" i="8" s="1"/>
  <c r="C55" i="15" l="1"/>
  <c r="C24" i="15"/>
  <c r="E73" i="8"/>
  <c r="E75" i="8"/>
  <c r="D9" i="10"/>
  <c r="D18" i="10" s="1"/>
  <c r="G23" i="11"/>
  <c r="G24" i="11" s="1"/>
  <c r="G25" i="11" s="1"/>
  <c r="F73" i="8" s="1"/>
  <c r="J23" i="11"/>
  <c r="J24" i="11" s="1"/>
  <c r="J25" i="11" s="1"/>
  <c r="H23" i="11"/>
  <c r="H24" i="11" s="1"/>
  <c r="H25" i="11" s="1"/>
  <c r="G73" i="8" s="1"/>
  <c r="I23" i="11"/>
  <c r="I24" i="11" s="1"/>
  <c r="I25" i="11" s="1"/>
  <c r="J7" i="7"/>
  <c r="J10" i="7" s="1"/>
  <c r="K13" i="13" s="1"/>
  <c r="I36" i="8"/>
  <c r="I70" i="8" s="1"/>
  <c r="C56" i="15" l="1"/>
  <c r="C25" i="15"/>
  <c r="C30" i="15"/>
  <c r="I73" i="8"/>
  <c r="H9" i="10"/>
  <c r="H18" i="10" s="1"/>
  <c r="I75" i="8"/>
  <c r="H73" i="8"/>
  <c r="G9" i="10"/>
  <c r="G18" i="10" s="1"/>
  <c r="H75" i="8"/>
  <c r="F9" i="10"/>
  <c r="F18" i="10" s="1"/>
  <c r="E9" i="10"/>
  <c r="E18" i="10" s="1"/>
  <c r="G75" i="8"/>
  <c r="F75" i="8"/>
  <c r="K7" i="7"/>
  <c r="K10" i="7" s="1"/>
  <c r="L13" i="13" s="1"/>
  <c r="G57" i="8" l="1"/>
  <c r="F57" i="8"/>
  <c r="H57" i="8"/>
  <c r="I57" i="8"/>
  <c r="C57" i="15"/>
  <c r="H28" i="13" s="1"/>
  <c r="I28" i="13" s="1"/>
  <c r="H23" i="13"/>
  <c r="I23" i="13" s="1"/>
  <c r="L7" i="7"/>
  <c r="L10" i="7" s="1"/>
  <c r="E33" i="8" l="1"/>
  <c r="E52" i="8" s="1"/>
  <c r="E55" i="8" s="1"/>
  <c r="J23" i="13"/>
  <c r="I24" i="13"/>
  <c r="E13" i="8"/>
  <c r="E32" i="8" s="1"/>
  <c r="M13" i="13"/>
  <c r="H10" i="8"/>
  <c r="G32" i="10" s="1"/>
  <c r="I10" i="8"/>
  <c r="H32" i="10" s="1"/>
  <c r="I7" i="8"/>
  <c r="G10" i="8"/>
  <c r="G7" i="8"/>
  <c r="E10" i="8"/>
  <c r="D32" i="10" s="1"/>
  <c r="F10" i="8"/>
  <c r="F7" i="8"/>
  <c r="F13" i="8" l="1"/>
  <c r="F32" i="8" s="1"/>
  <c r="E27" i="10" s="1"/>
  <c r="J24" i="13"/>
  <c r="D27" i="10"/>
  <c r="H7" i="8"/>
  <c r="F32" i="10"/>
  <c r="E32" i="10"/>
  <c r="E7" i="8"/>
  <c r="F31" i="8" l="1"/>
  <c r="F33" i="8" s="1"/>
  <c r="E12" i="8"/>
  <c r="E15" i="8" s="1"/>
  <c r="F52" i="8" l="1"/>
  <c r="F55" i="8" s="1"/>
  <c r="J28" i="13"/>
  <c r="K23" i="13" s="1"/>
  <c r="G31" i="8"/>
  <c r="G13" i="8" l="1"/>
  <c r="G32" i="8" s="1"/>
  <c r="K24" i="13"/>
  <c r="F27" i="10" l="1"/>
  <c r="G33" i="8"/>
  <c r="E35" i="10"/>
  <c r="H31" i="8" l="1"/>
  <c r="K28" i="13"/>
  <c r="L23" i="13" s="1"/>
  <c r="G52" i="8"/>
  <c r="G55" i="8" s="1"/>
  <c r="F6" i="8"/>
  <c r="F12" i="8" s="1"/>
  <c r="F15" i="8" s="1"/>
  <c r="C33" i="15"/>
  <c r="C41" i="15" s="1"/>
  <c r="H13" i="8" l="1"/>
  <c r="H32" i="8" s="1"/>
  <c r="C40" i="15"/>
  <c r="H13" i="15"/>
  <c r="H11" i="15" s="1"/>
  <c r="H10" i="15" s="1"/>
  <c r="C17" i="15" s="1"/>
  <c r="G27" i="10" l="1"/>
  <c r="H33" i="8"/>
  <c r="I31" i="8" s="1"/>
  <c r="L24" i="13"/>
  <c r="L28" i="13"/>
  <c r="M23" i="13" s="1"/>
  <c r="H37" i="13"/>
  <c r="E22" i="16"/>
  <c r="E23" i="16"/>
  <c r="E24" i="16"/>
  <c r="E25" i="16"/>
  <c r="E21" i="16"/>
  <c r="C47" i="15"/>
  <c r="C48" i="15" s="1"/>
  <c r="D46" i="15" s="1"/>
  <c r="I37" i="13"/>
  <c r="H52" i="8" l="1"/>
  <c r="H55" i="8" s="1"/>
  <c r="E76" i="8"/>
  <c r="F72" i="8" s="1"/>
  <c r="F76" i="8" s="1"/>
  <c r="D47" i="15"/>
  <c r="D48" i="15" s="1"/>
  <c r="I13" i="8" l="1"/>
  <c r="I32" i="8" s="1"/>
  <c r="M24" i="13"/>
  <c r="J37" i="13"/>
  <c r="G72" i="8"/>
  <c r="G76" i="8" s="1"/>
  <c r="H27" i="10" l="1"/>
  <c r="I33" i="8"/>
  <c r="K37" i="13"/>
  <c r="H72" i="8"/>
  <c r="H76" i="8" s="1"/>
  <c r="I52" i="8" l="1"/>
  <c r="I55" i="8" s="1"/>
  <c r="M28" i="13"/>
  <c r="I72" i="8"/>
  <c r="I76" i="8" s="1"/>
  <c r="M37" i="13" s="1"/>
  <c r="L37" i="13"/>
  <c r="F11" i="16" l="1"/>
  <c r="I11" i="16"/>
  <c r="E11" i="16"/>
  <c r="G11" i="16"/>
  <c r="H11" i="16"/>
  <c r="J8" i="13" l="1"/>
  <c r="K8" i="13"/>
  <c r="L8" i="13"/>
  <c r="M8" i="13"/>
  <c r="J17" i="13"/>
  <c r="K17" i="13"/>
  <c r="L17" i="13"/>
  <c r="M17" i="13"/>
  <c r="I29" i="13"/>
  <c r="J29" i="13"/>
  <c r="K29" i="13"/>
  <c r="L29" i="13"/>
  <c r="M29" i="13"/>
  <c r="I32" i="13"/>
  <c r="J32" i="13"/>
  <c r="K32" i="13"/>
  <c r="L32" i="13"/>
  <c r="M32" i="13"/>
  <c r="I34" i="13"/>
  <c r="J34" i="13"/>
  <c r="K34" i="13"/>
  <c r="L34" i="13"/>
  <c r="M34" i="13"/>
  <c r="I39" i="13"/>
  <c r="J39" i="13"/>
  <c r="K39" i="13"/>
  <c r="L39" i="13"/>
  <c r="M39" i="13"/>
  <c r="I42" i="13"/>
  <c r="J42" i="13"/>
  <c r="K42" i="13"/>
  <c r="L42" i="13"/>
  <c r="M42" i="13"/>
  <c r="G6" i="8"/>
  <c r="H6" i="8"/>
  <c r="I6" i="8"/>
  <c r="G12" i="8"/>
  <c r="H12" i="8"/>
  <c r="I12" i="8"/>
  <c r="G15" i="8"/>
  <c r="H15" i="8"/>
  <c r="I15" i="8"/>
  <c r="E16" i="8"/>
  <c r="F16" i="8"/>
  <c r="G16" i="8"/>
  <c r="H16" i="8"/>
  <c r="I16" i="8"/>
  <c r="E17" i="8"/>
  <c r="F17" i="8"/>
  <c r="G17" i="8"/>
  <c r="H17" i="8"/>
  <c r="I17" i="8"/>
  <c r="E20" i="8"/>
  <c r="F20" i="8"/>
  <c r="G20" i="8"/>
  <c r="H20" i="8"/>
  <c r="I20" i="8"/>
  <c r="E21" i="8"/>
  <c r="F21" i="8"/>
  <c r="G21" i="8"/>
  <c r="H21" i="8"/>
  <c r="I21" i="8"/>
  <c r="D23" i="8"/>
  <c r="E23" i="8"/>
  <c r="F23" i="8"/>
  <c r="G23" i="8"/>
  <c r="H23" i="8"/>
  <c r="I23" i="8"/>
  <c r="F26" i="8"/>
  <c r="G26" i="8"/>
  <c r="H26" i="8"/>
  <c r="I26" i="8"/>
  <c r="E27" i="8"/>
  <c r="F27" i="8"/>
  <c r="G27" i="8"/>
  <c r="H27" i="8"/>
  <c r="I27" i="8"/>
  <c r="E28" i="8"/>
  <c r="F28" i="8"/>
  <c r="G28" i="8"/>
  <c r="H28" i="8"/>
  <c r="I28" i="8"/>
  <c r="E38" i="8"/>
  <c r="F38" i="8"/>
  <c r="G38" i="8"/>
  <c r="H38" i="8"/>
  <c r="I38" i="8"/>
  <c r="E41" i="8"/>
  <c r="F41" i="8"/>
  <c r="G41" i="8"/>
  <c r="H41" i="8"/>
  <c r="I41" i="8"/>
  <c r="E44" i="8"/>
  <c r="F44" i="8"/>
  <c r="G44" i="8"/>
  <c r="H44" i="8"/>
  <c r="I44" i="8"/>
  <c r="E48" i="8"/>
  <c r="F48" i="8"/>
  <c r="G48" i="8"/>
  <c r="H48" i="8"/>
  <c r="I48" i="8"/>
  <c r="E49" i="8"/>
  <c r="F49" i="8"/>
  <c r="G49" i="8"/>
  <c r="H49" i="8"/>
  <c r="I49" i="8"/>
  <c r="E59" i="8"/>
  <c r="F59" i="8"/>
  <c r="G59" i="8"/>
  <c r="H59" i="8"/>
  <c r="I59" i="8"/>
  <c r="E61" i="8"/>
  <c r="F61" i="8"/>
  <c r="G61" i="8"/>
  <c r="H61" i="8"/>
  <c r="I61" i="8"/>
  <c r="E62" i="8"/>
  <c r="F62" i="8"/>
  <c r="G62" i="8"/>
  <c r="H62" i="8"/>
  <c r="I62" i="8"/>
  <c r="F65" i="8"/>
  <c r="G65" i="8"/>
  <c r="H65" i="8"/>
  <c r="I65" i="8"/>
  <c r="F67" i="8"/>
  <c r="G67" i="8"/>
  <c r="H67" i="8"/>
  <c r="I67" i="8"/>
  <c r="E10" i="16"/>
  <c r="F10" i="16"/>
  <c r="G10" i="16"/>
  <c r="H10" i="16"/>
  <c r="I10" i="16"/>
  <c r="E12" i="16"/>
  <c r="F12" i="16"/>
  <c r="G12" i="16"/>
  <c r="H12" i="16"/>
  <c r="I12" i="16"/>
  <c r="E14" i="16"/>
  <c r="F14" i="16"/>
  <c r="G14" i="16"/>
  <c r="H14" i="16"/>
  <c r="I14" i="16"/>
  <c r="E15" i="16"/>
  <c r="F15" i="16"/>
  <c r="G15" i="16"/>
  <c r="H15" i="16"/>
  <c r="I15" i="16"/>
  <c r="E16" i="16"/>
  <c r="F16" i="16"/>
  <c r="G16" i="16"/>
  <c r="H16" i="16"/>
  <c r="I16" i="16"/>
  <c r="D21" i="16"/>
  <c r="I21" i="16" a="1"/>
  <c r="I21" i="16"/>
  <c r="D22" i="16"/>
  <c r="D23" i="16"/>
  <c r="D24" i="16"/>
  <c r="D25" i="16"/>
  <c r="E32" i="16"/>
  <c r="F32" i="16"/>
  <c r="G32" i="16"/>
  <c r="H32" i="16"/>
  <c r="I32" i="16"/>
  <c r="J32" i="16"/>
  <c r="E33" i="16"/>
  <c r="F33" i="16"/>
  <c r="G33" i="16"/>
  <c r="H33" i="16"/>
  <c r="I33" i="16"/>
  <c r="J33" i="16"/>
  <c r="E35" i="16"/>
  <c r="F35" i="16"/>
  <c r="G35" i="16"/>
  <c r="H35" i="16"/>
  <c r="I35" i="16"/>
  <c r="J35" i="16"/>
  <c r="E37" i="16"/>
  <c r="F37" i="16"/>
  <c r="G37" i="16"/>
  <c r="H37" i="16"/>
  <c r="I37" i="16"/>
  <c r="J37" i="16"/>
  <c r="E38" i="16"/>
  <c r="F38" i="16"/>
  <c r="G38" i="16"/>
  <c r="H38" i="16"/>
  <c r="I38" i="16"/>
  <c r="J38" i="16"/>
  <c r="D28" i="10"/>
  <c r="E28" i="10"/>
  <c r="F28" i="10"/>
  <c r="G28" i="10"/>
  <c r="H28" i="10"/>
  <c r="D33" i="10"/>
  <c r="E33" i="10"/>
  <c r="F33" i="10"/>
  <c r="G33" i="10"/>
  <c r="H33" i="10"/>
  <c r="F35" i="10"/>
  <c r="G35" i="10"/>
  <c r="H35" i="10"/>
  <c r="D36" i="10"/>
  <c r="E36" i="10"/>
  <c r="F36" i="10"/>
  <c r="G36" i="10"/>
  <c r="H36" i="10"/>
  <c r="E37" i="10"/>
  <c r="F37" i="10"/>
  <c r="G37" i="10"/>
  <c r="H37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Nana Kwame</author>
  </authors>
  <commentList>
    <comment ref="B38" authorId="0" shapeId="0" xr:uid="{592254D5-7EFD-4A47-A807-30945753D0C8}">
      <text>
        <r>
          <rPr>
            <b/>
            <sz val="9"/>
            <color indexed="81"/>
            <rFont val="Tahoma"/>
            <family val="2"/>
          </rPr>
          <t>Nana Kwame:</t>
        </r>
        <r>
          <rPr>
            <sz val="9"/>
            <color indexed="81"/>
            <rFont val="Tahoma"/>
            <family val="2"/>
          </rPr>
          <t xml:space="preserve">
This includes Other receivables</t>
        </r>
      </text>
    </comment>
    <comment ref="B44" authorId="0" shapeId="0" xr:uid="{48594FA0-87C1-43A6-BDB4-1CF388895C70}">
      <text>
        <r>
          <rPr>
            <b/>
            <sz val="9"/>
            <color indexed="81"/>
            <rFont val="Tahoma"/>
            <family val="2"/>
          </rPr>
          <t>Nana Kwame:</t>
        </r>
        <r>
          <rPr>
            <sz val="9"/>
            <color indexed="81"/>
            <rFont val="Tahoma"/>
            <family val="2"/>
          </rPr>
          <t xml:space="preserve">
This includes the right of use of asset</t>
        </r>
      </text>
    </comment>
    <comment ref="B50" authorId="0" shapeId="0" xr:uid="{ED2DD64D-A4F8-46B6-B241-58823D798961}">
      <text>
        <r>
          <rPr>
            <b/>
            <sz val="9"/>
            <color indexed="81"/>
            <rFont val="Tahoma"/>
            <family val="2"/>
          </rPr>
          <t>Nana Kwame:</t>
        </r>
        <r>
          <rPr>
            <sz val="9"/>
            <color indexed="81"/>
            <rFont val="Tahoma"/>
            <family val="2"/>
          </rPr>
          <t xml:space="preserve">
Income and other taxes payable + acrrued expenses and other current liabilities - unamortized debt insurance cost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Nana Kwame</author>
    <author>Xinyu Zhang</author>
  </authors>
  <commentList>
    <comment ref="B9" authorId="0" shapeId="0" xr:uid="{4F674F0B-B5B7-47FA-9D54-023DF18909E5}">
      <text>
        <r>
          <rPr>
            <b/>
            <sz val="9"/>
            <color indexed="81"/>
            <rFont val="Tahoma"/>
            <family val="2"/>
          </rPr>
          <t>Nana Kwame:</t>
        </r>
        <r>
          <rPr>
            <sz val="9"/>
            <color indexed="81"/>
            <rFont val="Tahoma"/>
            <family val="2"/>
          </rPr>
          <t xml:space="preserve">
Aggregate of Accounts receivable and other receivables</t>
        </r>
      </text>
    </comment>
    <comment ref="B12" authorId="1" shapeId="0" xr:uid="{BA20627D-2BFB-4345-A685-4BFAEC9C1153}">
      <text>
        <r>
          <rPr>
            <sz val="9"/>
            <color indexed="81"/>
            <rFont val="Tahoma"/>
            <family val="2"/>
          </rPr>
          <t xml:space="preserve">Aggregate of Notes Receivable current, Income Tax receivable, and other current assets
</t>
        </r>
      </text>
    </comment>
    <comment ref="B14" authorId="0" shapeId="0" xr:uid="{240ECB64-66B6-4C8B-8AAC-7207518E7217}">
      <text>
        <r>
          <rPr>
            <b/>
            <sz val="9"/>
            <color indexed="81"/>
            <rFont val="Tahoma"/>
            <family val="2"/>
          </rPr>
          <t>Nana Kwame:</t>
        </r>
        <r>
          <rPr>
            <sz val="9"/>
            <color indexed="81"/>
            <rFont val="Tahoma"/>
            <family val="2"/>
          </rPr>
          <t xml:space="preserve">
This includes the right of use of asset</t>
        </r>
      </text>
    </comment>
    <comment ref="B15" authorId="1" shapeId="0" xr:uid="{0E030341-0D54-445A-9AE0-DE203B57F592}">
      <text>
        <r>
          <rPr>
            <sz val="9"/>
            <color indexed="81"/>
            <rFont val="Tahoma"/>
            <family val="2"/>
          </rPr>
          <t xml:space="preserve">Aggregate of Goodwill, Deferred Income Tax and Other Assets from 10-K
</t>
        </r>
      </text>
    </comment>
    <comment ref="B22" authorId="1" shapeId="0" xr:uid="{C3D6AA61-7CB5-4B42-A99B-EC4F141EC1A5}">
      <text>
        <r>
          <rPr>
            <b/>
            <sz val="9"/>
            <color rgb="FF000000"/>
            <rFont val="Tahoma"/>
            <family val="2"/>
          </rPr>
          <t>Nana Kwame: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Income and other taxes payable + acrrued expenses and other current liabilities - unamortized debt insurance cost
</t>
        </r>
      </text>
    </comment>
    <comment ref="B31" authorId="0" shapeId="0" xr:uid="{3581BDB9-AF80-445B-9570-20BAD4D2E7CE}">
      <text>
        <r>
          <rPr>
            <b/>
            <sz val="9"/>
            <color indexed="81"/>
            <rFont val="Tahoma"/>
            <family val="2"/>
          </rPr>
          <t>Nana Kwame:</t>
        </r>
        <r>
          <rPr>
            <sz val="9"/>
            <color indexed="81"/>
            <rFont val="Tahoma"/>
            <family val="2"/>
          </rPr>
          <t xml:space="preserve">
This include the portion long term portion of operating lease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<sst xmlns="http://schemas.openxmlformats.org/spreadsheetml/2006/main" count="276" uniqueCount="230">
  <si>
    <t>Company Name</t>
  </si>
  <si>
    <t>Financial Format (0 = Thousands, 1= Millions)</t>
  </si>
  <si>
    <t>Revenues</t>
  </si>
  <si>
    <t>Total Revenues</t>
  </si>
  <si>
    <t>Operating Income (EBIT)</t>
  </si>
  <si>
    <t>Income Statement Assumptions</t>
  </si>
  <si>
    <t>Effective Tax Rate</t>
  </si>
  <si>
    <t xml:space="preserve"> </t>
  </si>
  <si>
    <t>Interest expense</t>
  </si>
  <si>
    <t>Last Year of Audited Financials</t>
  </si>
  <si>
    <t>Note: Some of the 10-K items were grouped</t>
  </si>
  <si>
    <t>See Fixed Asset Schedule</t>
  </si>
  <si>
    <t>See Debt Schedule</t>
  </si>
  <si>
    <t>Depreciation and Amortization &amp; Impairment Gains (Losses), net</t>
  </si>
  <si>
    <t>Balance Sheet Assumptions</t>
  </si>
  <si>
    <t>Assets (As a % of Total Revenues, except where noted)</t>
  </si>
  <si>
    <t>Cash and Cash Equivalents</t>
  </si>
  <si>
    <t>As per Schedule. See below for minimum requirements.</t>
  </si>
  <si>
    <t>As per Working capital Schedule</t>
  </si>
  <si>
    <t>Inventories (DAYS)</t>
  </si>
  <si>
    <t xml:space="preserve">Prepaid Expenses </t>
  </si>
  <si>
    <t>Other Current Assets</t>
  </si>
  <si>
    <t>Net Property and Equipment</t>
  </si>
  <si>
    <t>Liabilities (As a % of Total Revenues)</t>
  </si>
  <si>
    <t>Current Liabilities</t>
  </si>
  <si>
    <t>Accounts Payable (DAYS)</t>
  </si>
  <si>
    <t>As per Working Capital Schedule</t>
  </si>
  <si>
    <t>Non-Current Liabilities</t>
  </si>
  <si>
    <t>Other Long-Term Liabilities (Absolute amount in thousands)</t>
  </si>
  <si>
    <t>Other</t>
  </si>
  <si>
    <t xml:space="preserve">Equity issuances (repurchases) </t>
  </si>
  <si>
    <t>Minimum cash balance required (% of Total Revenues)</t>
  </si>
  <si>
    <t>Assets</t>
  </si>
  <si>
    <t>Accounts Receivable</t>
  </si>
  <si>
    <t>Inventories</t>
  </si>
  <si>
    <t>Total Assets</t>
  </si>
  <si>
    <t>Liabilities &amp; Stockholder's Equity</t>
  </si>
  <si>
    <t>Accounts Payable</t>
  </si>
  <si>
    <t>Total Current Liabilities</t>
  </si>
  <si>
    <t>Other Long-Term Liabilities</t>
  </si>
  <si>
    <t>Total Non-Current Liabilities</t>
  </si>
  <si>
    <t>Total Liabilities</t>
  </si>
  <si>
    <t>Total stockholders' equity</t>
  </si>
  <si>
    <t>Total liabilities and stockholders' equity</t>
  </si>
  <si>
    <t>INCOME STATEMENT ACCOUNTS</t>
  </si>
  <si>
    <t>Cost of Sales</t>
  </si>
  <si>
    <t>WORKING CAPITAL ACCOUNTS</t>
  </si>
  <si>
    <t>RATIOS/ASSUMPTIONS</t>
  </si>
  <si>
    <t>Number of days/year</t>
  </si>
  <si>
    <t>Cost</t>
  </si>
  <si>
    <t>Salvage</t>
  </si>
  <si>
    <t>Life</t>
  </si>
  <si>
    <t>Mandatory long term debt repayment</t>
  </si>
  <si>
    <t>Other long term debt issuance/(repayment)</t>
  </si>
  <si>
    <t>Beginning balance</t>
  </si>
  <si>
    <t>Ending balance</t>
  </si>
  <si>
    <t>Average balance</t>
  </si>
  <si>
    <t>Interest rate</t>
  </si>
  <si>
    <t>Total interest expense</t>
  </si>
  <si>
    <t>Interest income</t>
  </si>
  <si>
    <t>Shareholders' Equity Schedule</t>
  </si>
  <si>
    <t>Cash Flow from Operations</t>
  </si>
  <si>
    <t>Depreciation and Amortization</t>
  </si>
  <si>
    <t>Total</t>
  </si>
  <si>
    <t>Cash Flow from Investing</t>
  </si>
  <si>
    <t>Cash Flow from Financing</t>
  </si>
  <si>
    <t>Cash at Beginning of Year</t>
  </si>
  <si>
    <t>Cash at End of Year</t>
  </si>
  <si>
    <t>Total Expenses</t>
  </si>
  <si>
    <t>Operating Costs</t>
  </si>
  <si>
    <t xml:space="preserve">Revenues </t>
  </si>
  <si>
    <t>Property and Equipment, Net</t>
  </si>
  <si>
    <t>Accrued Expenses and Other Current Liabilities</t>
  </si>
  <si>
    <t>Revolving Line of Credit</t>
  </si>
  <si>
    <t>Long Term Debt Issuance (Repayment), Net of Current Portion (Absolute amount in thousands)</t>
  </si>
  <si>
    <t>Balance check</t>
  </si>
  <si>
    <t xml:space="preserve">     Total Noncash Working Capital Assets</t>
  </si>
  <si>
    <t xml:space="preserve">     Total Working Capital liabilities</t>
  </si>
  <si>
    <t>Income before income taxes</t>
  </si>
  <si>
    <t>Ticker</t>
  </si>
  <si>
    <t xml:space="preserve">Interest income </t>
  </si>
  <si>
    <t>Interest Income</t>
  </si>
  <si>
    <t>Other Non-Current Assets</t>
  </si>
  <si>
    <t xml:space="preserve">Deferred Revenue </t>
  </si>
  <si>
    <t>Projected Shares Outstanding (unit in thousands)</t>
  </si>
  <si>
    <t>Non-Depreciable PPE (land)</t>
  </si>
  <si>
    <t>Net Depreciable PPE</t>
  </si>
  <si>
    <t>Accumulated Depreciation &amp; Amortization</t>
  </si>
  <si>
    <t>Average Useful Life</t>
  </si>
  <si>
    <t>Total Revenue</t>
  </si>
  <si>
    <t>CAPEX as % of Total Revenue</t>
  </si>
  <si>
    <t xml:space="preserve">               </t>
  </si>
  <si>
    <t>Inventory (inventory days)</t>
  </si>
  <si>
    <t>Accounts Receivable (A/R days)</t>
  </si>
  <si>
    <t>Accounts Payable (A/P days)</t>
  </si>
  <si>
    <t>Prepaid Expenses (% Total Revenue)</t>
  </si>
  <si>
    <t>Other Current Assets  (% Total Revenue)</t>
  </si>
  <si>
    <t>Accrued expenses (% Total Revenue)</t>
  </si>
  <si>
    <t>Deferred Revenue, Current (% Total Revenue)</t>
  </si>
  <si>
    <t>Beginning Balance - PPE</t>
  </si>
  <si>
    <t>Ending Balance - PPE</t>
  </si>
  <si>
    <t xml:space="preserve">Net Changes in Cash </t>
  </si>
  <si>
    <t>Long Term Debt</t>
  </si>
  <si>
    <t>Beginning Shareholder Equity</t>
  </si>
  <si>
    <t>(Dividends Payout)</t>
  </si>
  <si>
    <t>Stock Issuance (Repurchases)</t>
  </si>
  <si>
    <t>Ending Shareholder Equity</t>
  </si>
  <si>
    <t>Beginning Cash Balance</t>
  </si>
  <si>
    <t xml:space="preserve">Revolving Line of Credit </t>
  </si>
  <si>
    <t>Interest Expense Calculation</t>
  </si>
  <si>
    <t>CFO + CFI</t>
  </si>
  <si>
    <t>(Minimum required cash balance)</t>
  </si>
  <si>
    <t>Breaker</t>
  </si>
  <si>
    <t>Cash available for Revolving Line of Credit</t>
  </si>
  <si>
    <t>On</t>
  </si>
  <si>
    <t>Dividend Payout (As a % of Net Income)</t>
  </si>
  <si>
    <t>CROCS, INC.</t>
  </si>
  <si>
    <t>CROX</t>
  </si>
  <si>
    <t>Wholesale</t>
  </si>
  <si>
    <t>Direct To Customers</t>
  </si>
  <si>
    <t>As a % of Revenue</t>
  </si>
  <si>
    <t>Gross Profit</t>
  </si>
  <si>
    <t>Income from operations</t>
  </si>
  <si>
    <t>Foreign currency gains (losses), net</t>
  </si>
  <si>
    <t>Other income (expense), net</t>
  </si>
  <si>
    <t>Income tax expense (benefit)</t>
  </si>
  <si>
    <t>Selling, General &amp; Administration Expenses</t>
  </si>
  <si>
    <t>Prepaid expenses and other assets</t>
  </si>
  <si>
    <t>Accounts receivable</t>
  </si>
  <si>
    <t>Intangible assets, net</t>
  </si>
  <si>
    <t>Income taxes receivable (% of revenue)</t>
  </si>
  <si>
    <t>Deferred tax assets, net (% of revenue)</t>
  </si>
  <si>
    <t>Restricted cash</t>
  </si>
  <si>
    <t>Long-term operating lease liabilities</t>
  </si>
  <si>
    <t>Current portion Long-term Debt (Borrowings)</t>
  </si>
  <si>
    <t xml:space="preserve">Net income </t>
  </si>
  <si>
    <t>Prepaid Expenses</t>
  </si>
  <si>
    <t xml:space="preserve">     Add: CAPEX (from CFI 2024, 10K )</t>
  </si>
  <si>
    <t xml:space="preserve">     Less: D&amp;A - PPE (from 10K )</t>
  </si>
  <si>
    <t>Gross PPE (from 10K)</t>
  </si>
  <si>
    <t>Other Non Current Assets</t>
  </si>
  <si>
    <t>Long Term Income Tax</t>
  </si>
  <si>
    <t>Long term Income Tax</t>
  </si>
  <si>
    <t>Deferred Taxe Liabilities</t>
  </si>
  <si>
    <t>Deferred Tax Liabilities</t>
  </si>
  <si>
    <t xml:space="preserve">As per Working capital Schedule					
					</t>
  </si>
  <si>
    <t>KEY INPUT</t>
  </si>
  <si>
    <t>INITIAL VALUATION</t>
  </si>
  <si>
    <t>Enterprise value method</t>
    <phoneticPr fontId="7" type="noConversion"/>
  </si>
  <si>
    <t>Transaction date</t>
  </si>
  <si>
    <t>Assumed exit date</t>
  </si>
  <si>
    <t>LTM EBITDA</t>
  </si>
  <si>
    <t>Pre-LBO diluted shares outstanding</t>
  </si>
  <si>
    <t>EV/ LTM EBITDA</t>
  </si>
  <si>
    <t xml:space="preserve">% Pre-LBO diluted shares outstanding bought </t>
  </si>
  <si>
    <t>Enterprise Value</t>
  </si>
  <si>
    <t>Gross Debt at entry</t>
  </si>
  <si>
    <t xml:space="preserve">Less: Net Debt </t>
  </si>
  <si>
    <t>Cash at entry</t>
  </si>
  <si>
    <t>Offer Value (Equity Value)</t>
  </si>
  <si>
    <t>New Debt/ LTM EBITDA</t>
    <phoneticPr fontId="7" type="noConversion"/>
  </si>
  <si>
    <t>Diluted shares outstanding</t>
  </si>
  <si>
    <t>EV/ LTM EBITDA at exit</t>
  </si>
  <si>
    <t>Deal Fee (% of Offer Value)</t>
    <phoneticPr fontId="7" type="noConversion"/>
  </si>
  <si>
    <t>Deal Fee</t>
    <phoneticPr fontId="7" type="noConversion"/>
  </si>
  <si>
    <t>Term of Loan</t>
    <phoneticPr fontId="7" type="noConversion"/>
  </si>
  <si>
    <t>Financing Fee (% of Borrowing)</t>
    <phoneticPr fontId="7" type="noConversion"/>
  </si>
  <si>
    <t xml:space="preserve">Financing Fee </t>
    <phoneticPr fontId="7" type="noConversion"/>
  </si>
  <si>
    <t>Annual Financing Fee Amortization</t>
    <phoneticPr fontId="7" type="noConversion"/>
  </si>
  <si>
    <t>USE OF FUNDS</t>
  </si>
  <si>
    <t>Buyout of equity</t>
  </si>
  <si>
    <t>Payoff of Oldco Debt</t>
  </si>
  <si>
    <t>Total Uses</t>
  </si>
  <si>
    <t>SOURCES OF FUNDS</t>
  </si>
  <si>
    <t>Excess cash</t>
  </si>
  <si>
    <t>New term debt</t>
  </si>
  <si>
    <t>Management rollover</t>
  </si>
  <si>
    <t>Sponser Equity</t>
  </si>
  <si>
    <t>Total Sources</t>
  </si>
  <si>
    <t>OWNERSHIP SUMMARY</t>
  </si>
  <si>
    <t>% Ownership</t>
  </si>
  <si>
    <t xml:space="preserve">Total Equity </t>
  </si>
  <si>
    <t>New Term Debt Repayment Terms:</t>
  </si>
  <si>
    <t>Mandatory paydown (% of original)</t>
  </si>
  <si>
    <t>Mandatory paydown $</t>
  </si>
  <si>
    <t>Current portion of new term debt as of 12/31/2018</t>
  </si>
  <si>
    <t>Non-current portion of new term debt as of 12/31/2018</t>
  </si>
  <si>
    <t>Share price as of last close</t>
  </si>
  <si>
    <t>Latest closing share price date</t>
  </si>
  <si>
    <t>Offer value per share</t>
    <phoneticPr fontId="6" type="noConversion"/>
  </si>
  <si>
    <t>Current portion of debt</t>
  </si>
  <si>
    <t>EXIT VALUATION</t>
  </si>
  <si>
    <t>Valuation at various exit EBITDA multiples</t>
  </si>
  <si>
    <t>EV/EBITDA multiple at exit</t>
  </si>
  <si>
    <t>EBITDA at exit</t>
  </si>
  <si>
    <t>Enterprise value</t>
  </si>
  <si>
    <t>Net debt:</t>
  </si>
  <si>
    <t>Revolver</t>
  </si>
  <si>
    <t>Long-term debt</t>
  </si>
  <si>
    <t>Cash</t>
  </si>
  <si>
    <t>Equity value</t>
  </si>
  <si>
    <t>%ownership</t>
  </si>
  <si>
    <t>IRR</t>
  </si>
  <si>
    <t xml:space="preserve">Pricing at various IRR </t>
  </si>
  <si>
    <t>Offer value</t>
  </si>
  <si>
    <t>Shares outstanding</t>
  </si>
  <si>
    <t>Offer value/share at entry</t>
  </si>
  <si>
    <t>EV/ LTM EBITDA multiple at entry</t>
  </si>
  <si>
    <t>Ending balance limit</t>
  </si>
  <si>
    <t>Issuance/(repayment) on Revolving Line of Credit</t>
  </si>
  <si>
    <t>Short term borrowings (total)</t>
    <phoneticPr fontId="6" type="noConversion"/>
  </si>
  <si>
    <t>Total long term debt issuance/(repayment)</t>
  </si>
  <si>
    <t>Short term borrowings</t>
    <phoneticPr fontId="6" type="noConversion"/>
  </si>
  <si>
    <t>3-month SOFR (2025/10/01)</t>
    <phoneticPr fontId="6" type="noConversion"/>
  </si>
  <si>
    <t xml:space="preserve">Interest expense </t>
  </si>
  <si>
    <t>3-month SOFR (2025/10/01)</t>
    <phoneticPr fontId="10" type="noConversion"/>
  </si>
  <si>
    <t>Annual Financing Fee Amortization</t>
    <phoneticPr fontId="10" type="noConversion"/>
  </si>
  <si>
    <t>Crocs, Inc.</t>
  </si>
  <si>
    <t>Interest coverage ratio (EBITDA / total interest expense)</t>
    <phoneticPr fontId="10" type="noConversion"/>
  </si>
  <si>
    <t>Leverage test (total DEBT / EBITDA)</t>
    <phoneticPr fontId="10" type="noConversion"/>
  </si>
  <si>
    <t>Cash available for Debt</t>
    <phoneticPr fontId="10" type="noConversion"/>
  </si>
  <si>
    <t>Cash available for revolver and accelerated long term debt repayment</t>
    <phoneticPr fontId="10" type="noConversion"/>
  </si>
  <si>
    <t>Accelerated long term debt repayment</t>
    <phoneticPr fontId="10" type="noConversion"/>
  </si>
  <si>
    <t>Interest rate (3-month SOFR+6%)</t>
    <phoneticPr fontId="10" type="noConversion"/>
  </si>
  <si>
    <t>Average balance &lt;=10% revolver limit (0=YES, 1=NO)</t>
    <phoneticPr fontId="10" type="noConversion"/>
  </si>
  <si>
    <t>IRR at various exit EV/ LTM EBITDA multiples</t>
    <phoneticPr fontId="6" type="noConversion"/>
  </si>
  <si>
    <t>Adjustment (-)</t>
    <phoneticPr fontId="10" type="noConversion"/>
  </si>
  <si>
    <t>Adjustment (+)</t>
    <phoneticPr fontId="10" type="noConversion"/>
  </si>
  <si>
    <t>Interest rate 1 (3-month SOFR+7%)</t>
  </si>
  <si>
    <t>Interest rate 2 (3-month SOFR+12%)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</si>
</sst>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23" formatCode="\$#,##0_);\(\$#,##0\)"/>
    <numFmt numFmtId="176" formatCode="&quot;$&quot;#,##0_);\(&quot;$&quot;#,##0\)"/>
    <numFmt numFmtId="177" formatCode="&quot;$&quot;#,##0_);[Red]\(&quot;$&quot;#,##0\)"/>
    <numFmt numFmtId="178" formatCode="_(&quot;$&quot;* #,##0_);_(&quot;$&quot;* \(#,##0\);_(&quot;$&quot;* &quot;-&quot;_);_(@_)"/>
    <numFmt numFmtId="179" formatCode="_(&quot;$&quot;* #,##0.00_);_(&quot;$&quot;* \(#,##0.00\);_(&quot;$&quot;* &quot;-&quot;??_);_(@_)"/>
    <numFmt numFmtId="180" formatCode="_(* #,##0.00_);_(* \(#,##0.00\);_(* &quot;-&quot;??_);_(@_)"/>
    <numFmt numFmtId="181" formatCode="0.0%"/>
    <numFmt numFmtId="182" formatCode="#,##0.000"/>
    <numFmt numFmtId="183" formatCode="#,##0.0%_);\(#,##0.0%\)"/>
    <numFmt numFmtId="184" formatCode="0&quot;E&quot;"/>
    <numFmt numFmtId="185" formatCode="#,##0.0_);\(#,##0.0\)"/>
    <numFmt numFmtId="186" formatCode="[$$-1004]#,##0_);\([$$-1004]#,##0\)"/>
    <numFmt numFmtId="187" formatCode="&quot;$&quot;#,##0"/>
    <numFmt numFmtId="188" formatCode="#,##0.0"/>
    <numFmt numFmtId="189" formatCode="0.0"/>
    <numFmt numFmtId="190" formatCode="0_);\(0\)"/>
    <numFmt numFmtId="191" formatCode="&quot;$&quot;#,##0.0_);\(&quot;$&quot;#,##0.0\)"/>
    <numFmt numFmtId="192" formatCode="0&quot;E&quot;_);\(0&quot;E&quot;\)"/>
    <numFmt numFmtId="193" formatCode="#,##0.000_);\(#,##0.000\)"/>
    <numFmt numFmtId="194" formatCode="_(* #,##0_);_(* \(#,##0\);_(* &quot;-&quot;??_);_(@_)"/>
    <numFmt numFmtId="195" formatCode="&quot;Method&quot;0"/>
    <numFmt numFmtId="196" formatCode="0.0\x"/>
    <numFmt numFmtId="197" formatCode="&quot;$&quot;#,##0.00"/>
    <numFmt numFmtId="198" formatCode="0.00&quot;x&quot;"/>
    <numFmt numFmtId="199" formatCode="0.0&quot;x&quot;"/>
    <numFmt numFmtId="200" formatCode="&quot;$&quot;#,##0.00_);[Red]\(&quot;$&quot;#,##0.00\)"/>
    <numFmt numFmtId="201" formatCode="#,##0_);\(#,##0\)"/>
    <numFmt numFmtId="202" formatCode="0.00\x"/>
  </numFmts>
  <fonts count="40" x14ac:knownFonts="1">
    <font>
      <sz val="10"/>
      <name val="Arial"/>
    </font>
    <font>
      <sz val="10"/>
      <name val="Arial"/>
      <family val="2"/>
    </font>
    <font>
      <i/>
      <sz val="8"/>
      <name val="Arial"/>
      <family val="2"/>
    </font>
    <font>
      <sz val="8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indexed="8"/>
      <name val="宋体"/>
      <family val="2"/>
      <scheme val="minor"/>
    </font>
    <font>
      <i/>
      <u/>
      <sz val="12"/>
      <name val="宋体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9"/>
      <name val="宋体"/>
      <family val="3"/>
      <charset val="134"/>
    </font>
    <font>
      <sz val="11"/>
      <name val="Arial"/>
      <family val="2"/>
    </font>
    <font>
      <b/>
      <sz val="11"/>
      <name val="Arial"/>
      <family val="2"/>
    </font>
    <font>
      <i/>
      <sz val="11"/>
      <name val="Arial"/>
      <family val="2"/>
    </font>
    <font>
      <sz val="11"/>
      <color rgb="FF0033CC"/>
      <name val="Arial"/>
      <family val="2"/>
    </font>
    <font>
      <sz val="11"/>
      <color indexed="30"/>
      <name val="Arial"/>
      <family val="2"/>
    </font>
    <font>
      <sz val="11"/>
      <color indexed="9"/>
      <name val="Arial"/>
      <family val="2"/>
    </font>
    <font>
      <sz val="11"/>
      <color theme="1"/>
      <name val="Arial"/>
      <family val="2"/>
    </font>
    <font>
      <sz val="11"/>
      <color theme="3" tint="0.39997558519241921"/>
      <name val="Arial"/>
      <family val="2"/>
    </font>
    <font>
      <b/>
      <sz val="11"/>
      <color theme="0"/>
      <name val="Arial"/>
      <family val="2"/>
    </font>
    <font>
      <u/>
      <sz val="11"/>
      <name val="Arial"/>
      <family val="2"/>
    </font>
    <font>
      <sz val="11"/>
      <color rgb="FF0000FF"/>
      <name val="Arial"/>
      <family val="2"/>
    </font>
    <font>
      <sz val="11"/>
      <color rgb="FFFF0000"/>
      <name val="Arial"/>
      <family val="2"/>
    </font>
    <font>
      <b/>
      <u/>
      <sz val="11"/>
      <name val="Arial"/>
      <family val="2"/>
    </font>
    <font>
      <b/>
      <sz val="11"/>
      <color rgb="FF0033CC"/>
      <name val="Arial"/>
      <family val="2"/>
    </font>
    <font>
      <b/>
      <sz val="11"/>
      <color theme="1"/>
      <name val="Arial"/>
      <family val="2"/>
    </font>
    <font>
      <sz val="11"/>
      <color rgb="FF00B05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u/>
      <sz val="11"/>
      <color theme="1"/>
      <name val="Arial"/>
      <family val="2"/>
    </font>
    <font>
      <sz val="11"/>
      <color indexed="12"/>
      <name val="Arial"/>
      <family val="2"/>
    </font>
    <font>
      <i/>
      <sz val="11"/>
      <color indexed="10"/>
      <name val="Arial"/>
      <family val="2"/>
    </font>
    <font>
      <b/>
      <sz val="11"/>
      <color indexed="8"/>
      <name val="Arial"/>
      <family val="2"/>
    </font>
    <font>
      <b/>
      <i/>
      <sz val="11"/>
      <name val="Arial"/>
      <family val="2"/>
    </font>
    <font>
      <i/>
      <sz val="11"/>
      <color rgb="FFFF0000"/>
      <name val="Arial"/>
      <family val="2"/>
    </font>
    <font>
      <sz val="11"/>
      <color indexed="8"/>
      <name val="Arial"/>
      <family val="2"/>
    </font>
    <font>
      <sz val="11"/>
      <color theme="0"/>
      <name val="Arial"/>
      <family val="2"/>
    </font>
    <font>
      <b/>
      <sz val="11"/>
      <color indexed="9"/>
      <name val="Arial"/>
      <family val="2"/>
    </font>
    <font>
      <i/>
      <u/>
      <sz val="11"/>
      <name val="Arial"/>
      <family val="2"/>
    </font>
    <font>
      <sz val="11"/>
      <color indexed="56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5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180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2" fillId="0" borderId="1"/>
    <xf numFmtId="0" fontId="3" fillId="0" borderId="0"/>
    <xf numFmtId="0" fontId="1" fillId="0" borderId="0"/>
  </cellStyleXfs>
  <cellXfs count="344">
    <xf numFmtId="0" fontId="0" fillId="0" borderId="0" xfId="0"/>
    <xf numFmtId="0" fontId="11" fillId="0" borderId="16" xfId="0" applyFont="1" applyBorder="1"/>
    <xf numFmtId="0" fontId="11" fillId="0" borderId="0" xfId="0" applyFont="1"/>
    <xf numFmtId="0" fontId="12" fillId="0" borderId="16" xfId="0" applyFont="1" applyBorder="1"/>
    <xf numFmtId="0" fontId="12" fillId="0" borderId="16" xfId="0" applyFont="1" applyBorder="1" applyAlignment="1">
      <alignment horizontal="center"/>
    </xf>
    <xf numFmtId="3" fontId="13" fillId="0" borderId="0" xfId="0" applyNumberFormat="1" applyFont="1" applyAlignment="1">
      <alignment horizontal="left" wrapText="1"/>
    </xf>
    <xf numFmtId="0" fontId="14" fillId="0" borderId="0" xfId="0" applyFont="1" applyAlignment="1">
      <alignment horizontal="left"/>
    </xf>
    <xf numFmtId="0" fontId="14" fillId="0" borderId="16" xfId="0" applyFont="1" applyBorder="1" applyAlignment="1">
      <alignment horizontal="left"/>
    </xf>
    <xf numFmtId="3" fontId="11" fillId="0" borderId="0" xfId="0" applyNumberFormat="1" applyFont="1" applyAlignment="1">
      <alignment horizontal="left" wrapText="1" indent="1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84" fontId="12" fillId="0" borderId="1" xfId="0" applyNumberFormat="1" applyFont="1" applyBorder="1" applyAlignment="1">
      <alignment horizontal="right"/>
    </xf>
    <xf numFmtId="3" fontId="12" fillId="0" borderId="0" xfId="0" applyNumberFormat="1" applyFont="1" applyAlignment="1">
      <alignment horizontal="left" wrapText="1"/>
    </xf>
    <xf numFmtId="3" fontId="11" fillId="0" borderId="0" xfId="0" applyNumberFormat="1" applyFont="1" applyAlignment="1">
      <alignment horizontal="left" wrapText="1"/>
    </xf>
    <xf numFmtId="3" fontId="11" fillId="0" borderId="0" xfId="0" applyNumberFormat="1" applyFont="1" applyAlignment="1">
      <alignment horizontal="left" wrapText="1" indent="2"/>
    </xf>
    <xf numFmtId="181" fontId="14" fillId="0" borderId="0" xfId="4" applyNumberFormat="1" applyFont="1" applyFill="1" applyAlignment="1">
      <alignment horizontal="right"/>
    </xf>
    <xf numFmtId="9" fontId="11" fillId="0" borderId="0" xfId="4" applyFont="1" applyAlignment="1">
      <alignment vertical="top"/>
    </xf>
    <xf numFmtId="0" fontId="11" fillId="0" borderId="0" xfId="0" applyFont="1" applyAlignment="1">
      <alignment vertical="top"/>
    </xf>
    <xf numFmtId="0" fontId="12" fillId="0" borderId="0" xfId="0" applyFont="1" applyAlignment="1">
      <alignment vertical="top"/>
    </xf>
    <xf numFmtId="181" fontId="17" fillId="0" borderId="0" xfId="4" applyNumberFormat="1" applyFont="1" applyFill="1" applyAlignment="1">
      <alignment horizontal="center"/>
    </xf>
    <xf numFmtId="3" fontId="11" fillId="0" borderId="0" xfId="0" applyNumberFormat="1" applyFont="1" applyAlignment="1">
      <alignment horizontal="left" indent="1"/>
    </xf>
    <xf numFmtId="3" fontId="11" fillId="0" borderId="0" xfId="0" applyNumberFormat="1" applyFont="1" applyAlignment="1">
      <alignment horizontal="left"/>
    </xf>
    <xf numFmtId="10" fontId="14" fillId="0" borderId="0" xfId="4" applyNumberFormat="1" applyFont="1" applyFill="1" applyAlignment="1">
      <alignment horizontal="right"/>
    </xf>
    <xf numFmtId="189" fontId="14" fillId="0" borderId="0" xfId="4" applyNumberFormat="1" applyFont="1" applyFill="1" applyAlignment="1">
      <alignment horizontal="right"/>
    </xf>
    <xf numFmtId="181" fontId="11" fillId="0" borderId="0" xfId="4" applyNumberFormat="1" applyFont="1" applyFill="1" applyAlignment="1">
      <alignment horizontal="center"/>
    </xf>
    <xf numFmtId="3" fontId="11" fillId="0" borderId="0" xfId="0" applyNumberFormat="1" applyFont="1"/>
    <xf numFmtId="3" fontId="14" fillId="0" borderId="0" xfId="0" applyNumberFormat="1" applyFont="1" applyAlignment="1">
      <alignment horizontal="right"/>
    </xf>
    <xf numFmtId="3" fontId="11" fillId="0" borderId="16" xfId="0" applyNumberFormat="1" applyFont="1" applyBorder="1" applyAlignment="1">
      <alignment horizontal="left"/>
    </xf>
    <xf numFmtId="184" fontId="12" fillId="0" borderId="1" xfId="0" applyNumberFormat="1" applyFont="1" applyBorder="1" applyAlignment="1">
      <alignment horizontal="center"/>
    </xf>
    <xf numFmtId="3" fontId="12" fillId="0" borderId="0" xfId="0" applyNumberFormat="1" applyFont="1" applyAlignment="1">
      <alignment horizontal="left"/>
    </xf>
    <xf numFmtId="0" fontId="11" fillId="0" borderId="0" xfId="0" applyFont="1" applyAlignment="1">
      <alignment horizontal="center"/>
    </xf>
    <xf numFmtId="1" fontId="11" fillId="0" borderId="0" xfId="0" applyNumberFormat="1" applyFont="1" applyAlignment="1">
      <alignment wrapText="1"/>
    </xf>
    <xf numFmtId="182" fontId="11" fillId="0" borderId="0" xfId="0" applyNumberFormat="1" applyFont="1" applyAlignment="1">
      <alignment horizontal="left" wrapText="1" indent="1"/>
    </xf>
    <xf numFmtId="0" fontId="11" fillId="0" borderId="0" xfId="0" applyFont="1" applyAlignment="1">
      <alignment horizontal="left" vertical="top" indent="1"/>
    </xf>
    <xf numFmtId="3" fontId="11" fillId="0" borderId="0" xfId="0" applyNumberFormat="1" applyFont="1" applyAlignment="1">
      <alignment wrapText="1"/>
    </xf>
    <xf numFmtId="181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left" indent="1"/>
    </xf>
    <xf numFmtId="181" fontId="14" fillId="0" borderId="0" xfId="0" applyNumberFormat="1" applyFont="1" applyAlignment="1">
      <alignment vertical="center"/>
    </xf>
    <xf numFmtId="9" fontId="14" fillId="0" borderId="0" xfId="4" applyFont="1" applyBorder="1" applyAlignment="1">
      <alignment vertical="top"/>
    </xf>
    <xf numFmtId="181" fontId="14" fillId="0" borderId="0" xfId="0" applyNumberFormat="1" applyFont="1" applyAlignment="1">
      <alignment horizontal="right"/>
    </xf>
    <xf numFmtId="183" fontId="14" fillId="0" borderId="0" xfId="6" applyNumberFormat="1" applyFont="1" applyAlignment="1">
      <alignment horizontal="right" vertical="top"/>
    </xf>
    <xf numFmtId="1" fontId="12" fillId="0" borderId="0" xfId="0" applyNumberFormat="1" applyFont="1" applyAlignment="1">
      <alignment wrapText="1"/>
    </xf>
    <xf numFmtId="181" fontId="11" fillId="0" borderId="0" xfId="0" applyNumberFormat="1" applyFont="1" applyAlignment="1">
      <alignment horizontal="right"/>
    </xf>
    <xf numFmtId="181" fontId="18" fillId="0" borderId="0" xfId="0" applyNumberFormat="1" applyFont="1" applyAlignment="1">
      <alignment horizontal="right"/>
    </xf>
    <xf numFmtId="3" fontId="11" fillId="2" borderId="0" xfId="0" applyNumberFormat="1" applyFont="1" applyFill="1" applyAlignment="1">
      <alignment horizontal="left" wrapText="1" indent="1"/>
    </xf>
    <xf numFmtId="176" fontId="14" fillId="0" borderId="0" xfId="6" applyNumberFormat="1" applyFont="1" applyAlignment="1">
      <alignment horizontal="right" vertical="top"/>
    </xf>
    <xf numFmtId="0" fontId="11" fillId="0" borderId="0" xfId="0" applyFont="1" applyAlignment="1">
      <alignment horizontal="right"/>
    </xf>
    <xf numFmtId="9" fontId="14" fillId="0" borderId="0" xfId="2" applyNumberFormat="1" applyFont="1" applyFill="1" applyAlignment="1">
      <alignment horizontal="right"/>
    </xf>
    <xf numFmtId="9" fontId="11" fillId="0" borderId="0" xfId="0" applyNumberFormat="1" applyFont="1" applyAlignment="1">
      <alignment horizontal="left" wrapText="1" indent="1"/>
    </xf>
    <xf numFmtId="9" fontId="14" fillId="0" borderId="0" xfId="0" applyNumberFormat="1" applyFont="1" applyAlignment="1">
      <alignment horizontal="right"/>
    </xf>
    <xf numFmtId="0" fontId="19" fillId="4" borderId="0" xfId="3" applyFont="1" applyFill="1"/>
    <xf numFmtId="0" fontId="11" fillId="4" borderId="0" xfId="3" applyFont="1" applyFill="1"/>
    <xf numFmtId="0" fontId="11" fillId="0" borderId="0" xfId="3" applyFont="1"/>
    <xf numFmtId="0" fontId="12" fillId="0" borderId="1" xfId="3" applyFont="1" applyBorder="1"/>
    <xf numFmtId="0" fontId="11" fillId="0" borderId="1" xfId="3" applyFont="1" applyBorder="1"/>
    <xf numFmtId="0" fontId="22" fillId="0" borderId="0" xfId="3" applyFont="1"/>
    <xf numFmtId="0" fontId="12" fillId="0" borderId="0" xfId="3" applyFont="1"/>
    <xf numFmtId="0" fontId="11" fillId="2" borderId="0" xfId="0" applyFont="1" applyFill="1"/>
    <xf numFmtId="0" fontId="11" fillId="0" borderId="0" xfId="7" applyFont="1"/>
    <xf numFmtId="0" fontId="22" fillId="0" borderId="0" xfId="7" applyFont="1"/>
    <xf numFmtId="0" fontId="23" fillId="0" borderId="0" xfId="3" applyFont="1"/>
    <xf numFmtId="37" fontId="11" fillId="0" borderId="0" xfId="3" applyNumberFormat="1" applyFont="1"/>
    <xf numFmtId="37" fontId="24" fillId="0" borderId="0" xfId="3" applyNumberFormat="1" applyFont="1"/>
    <xf numFmtId="197" fontId="11" fillId="0" borderId="0" xfId="3" applyNumberFormat="1" applyFont="1"/>
    <xf numFmtId="196" fontId="25" fillId="0" borderId="0" xfId="3" applyNumberFormat="1" applyFont="1"/>
    <xf numFmtId="3" fontId="11" fillId="0" borderId="16" xfId="0" applyNumberFormat="1" applyFont="1" applyBorder="1" applyAlignment="1">
      <alignment horizontal="left" wrapText="1"/>
    </xf>
    <xf numFmtId="3" fontId="11" fillId="0" borderId="16" xfId="0" applyNumberFormat="1" applyFont="1" applyBorder="1" applyAlignment="1">
      <alignment horizontal="right"/>
    </xf>
    <xf numFmtId="3" fontId="11" fillId="0" borderId="0" xfId="0" applyNumberFormat="1" applyFont="1" applyAlignment="1">
      <alignment horizontal="right"/>
    </xf>
    <xf numFmtId="3" fontId="12" fillId="0" borderId="16" xfId="0" applyNumberFormat="1" applyFont="1" applyBorder="1" applyAlignment="1">
      <alignment horizontal="left" wrapText="1"/>
    </xf>
    <xf numFmtId="3" fontId="11" fillId="0" borderId="0" xfId="0" applyNumberFormat="1" applyFont="1" applyAlignment="1">
      <alignment horizontal="center"/>
    </xf>
    <xf numFmtId="1" fontId="11" fillId="0" borderId="0" xfId="0" applyNumberFormat="1" applyFont="1" applyAlignment="1">
      <alignment horizontal="left" wrapText="1"/>
    </xf>
    <xf numFmtId="190" fontId="12" fillId="5" borderId="2" xfId="0" applyNumberFormat="1" applyFont="1" applyFill="1" applyBorder="1" applyAlignment="1">
      <alignment horizontal="right"/>
    </xf>
    <xf numFmtId="192" fontId="12" fillId="5" borderId="2" xfId="0" applyNumberFormat="1" applyFont="1" applyFill="1" applyBorder="1" applyAlignment="1">
      <alignment horizontal="right"/>
    </xf>
    <xf numFmtId="1" fontId="11" fillId="0" borderId="0" xfId="0" applyNumberFormat="1" applyFont="1" applyAlignment="1">
      <alignment horizontal="right"/>
    </xf>
    <xf numFmtId="178" fontId="11" fillId="0" borderId="0" xfId="0" applyNumberFormat="1" applyFont="1" applyAlignment="1">
      <alignment vertical="top"/>
    </xf>
    <xf numFmtId="37" fontId="11" fillId="0" borderId="0" xfId="0" applyNumberFormat="1" applyFont="1" applyAlignment="1">
      <alignment vertical="top"/>
    </xf>
    <xf numFmtId="37" fontId="14" fillId="2" borderId="0" xfId="1" applyNumberFormat="1" applyFont="1" applyFill="1" applyAlignment="1" applyProtection="1">
      <alignment horizontal="right"/>
      <protection locked="0"/>
    </xf>
    <xf numFmtId="37" fontId="14" fillId="0" borderId="0" xfId="0" applyNumberFormat="1" applyFont="1" applyAlignment="1">
      <alignment vertical="top"/>
    </xf>
    <xf numFmtId="37" fontId="14" fillId="2" borderId="0" xfId="1" applyNumberFormat="1" applyFont="1" applyFill="1" applyBorder="1" applyAlignment="1" applyProtection="1">
      <alignment horizontal="right"/>
      <protection locked="0"/>
    </xf>
    <xf numFmtId="180" fontId="11" fillId="0" borderId="0" xfId="1" applyFont="1" applyAlignment="1">
      <alignment vertical="top"/>
    </xf>
    <xf numFmtId="37" fontId="11" fillId="0" borderId="0" xfId="0" applyNumberFormat="1" applyFont="1" applyAlignment="1">
      <alignment horizontal="right"/>
    </xf>
    <xf numFmtId="37" fontId="14" fillId="0" borderId="0" xfId="1" applyNumberFormat="1" applyFont="1" applyFill="1" applyAlignment="1" applyProtection="1">
      <alignment horizontal="right"/>
      <protection locked="0"/>
    </xf>
    <xf numFmtId="37" fontId="11" fillId="2" borderId="0" xfId="0" applyNumberFormat="1" applyFont="1" applyFill="1" applyAlignment="1">
      <alignment horizontal="right"/>
    </xf>
    <xf numFmtId="37" fontId="11" fillId="0" borderId="0" xfId="0" applyNumberFormat="1" applyFont="1"/>
    <xf numFmtId="9" fontId="11" fillId="0" borderId="0" xfId="0" applyNumberFormat="1" applyFont="1" applyAlignment="1">
      <alignment horizontal="right"/>
    </xf>
    <xf numFmtId="10" fontId="11" fillId="0" borderId="0" xfId="0" applyNumberFormat="1" applyFont="1" applyAlignment="1">
      <alignment horizontal="right"/>
    </xf>
    <xf numFmtId="0" fontId="25" fillId="0" borderId="1" xfId="7" applyFont="1" applyBorder="1"/>
    <xf numFmtId="0" fontId="11" fillId="0" borderId="1" xfId="7" applyFont="1" applyBorder="1"/>
    <xf numFmtId="0" fontId="20" fillId="0" borderId="0" xfId="7" applyFont="1" applyAlignment="1">
      <alignment horizontal="right"/>
    </xf>
    <xf numFmtId="198" fontId="11" fillId="0" borderId="0" xfId="7" applyNumberFormat="1" applyFont="1"/>
    <xf numFmtId="0" fontId="27" fillId="0" borderId="0" xfId="7" applyFont="1"/>
    <xf numFmtId="199" fontId="11" fillId="0" borderId="0" xfId="7" applyNumberFormat="1" applyFont="1"/>
    <xf numFmtId="0" fontId="28" fillId="0" borderId="0" xfId="7" applyFont="1"/>
    <xf numFmtId="0" fontId="25" fillId="0" borderId="0" xfId="7" applyFont="1"/>
    <xf numFmtId="0" fontId="29" fillId="0" borderId="0" xfId="7" applyFont="1" applyAlignment="1">
      <alignment horizontal="left" indent="1"/>
    </xf>
    <xf numFmtId="0" fontId="28" fillId="0" borderId="0" xfId="7" applyFont="1" applyAlignment="1">
      <alignment horizontal="left" indent="2"/>
    </xf>
    <xf numFmtId="0" fontId="11" fillId="0" borderId="0" xfId="7" applyFont="1" applyAlignment="1">
      <alignment horizontal="left" indent="2"/>
    </xf>
    <xf numFmtId="0" fontId="25" fillId="0" borderId="0" xfId="7" applyFont="1" applyAlignment="1">
      <alignment horizontal="left"/>
    </xf>
    <xf numFmtId="199" fontId="11" fillId="0" borderId="0" xfId="7" applyNumberFormat="1" applyFont="1" applyAlignment="1">
      <alignment horizontal="left"/>
    </xf>
    <xf numFmtId="3" fontId="11" fillId="0" borderId="0" xfId="7" applyNumberFormat="1" applyFont="1" applyAlignment="1">
      <alignment horizontal="center"/>
    </xf>
    <xf numFmtId="0" fontId="12" fillId="0" borderId="1" xfId="7" applyFont="1" applyBorder="1"/>
    <xf numFmtId="200" fontId="11" fillId="0" borderId="0" xfId="7" applyNumberFormat="1" applyFont="1"/>
    <xf numFmtId="187" fontId="11" fillId="0" borderId="0" xfId="7" applyNumberFormat="1" applyFont="1"/>
    <xf numFmtId="3" fontId="11" fillId="2" borderId="16" xfId="0" applyNumberFormat="1" applyFont="1" applyFill="1" applyBorder="1"/>
    <xf numFmtId="3" fontId="11" fillId="2" borderId="16" xfId="0" applyNumberFormat="1" applyFont="1" applyFill="1" applyBorder="1" applyAlignment="1">
      <alignment horizontal="right"/>
    </xf>
    <xf numFmtId="3" fontId="11" fillId="2" borderId="0" xfId="0" applyNumberFormat="1" applyFont="1" applyFill="1"/>
    <xf numFmtId="3" fontId="12" fillId="2" borderId="16" xfId="0" applyNumberFormat="1" applyFont="1" applyFill="1" applyBorder="1"/>
    <xf numFmtId="3" fontId="12" fillId="2" borderId="16" xfId="0" applyNumberFormat="1" applyFont="1" applyFill="1" applyBorder="1" applyAlignment="1">
      <alignment horizontal="right"/>
    </xf>
    <xf numFmtId="3" fontId="13" fillId="2" borderId="0" xfId="0" applyNumberFormat="1" applyFont="1" applyFill="1"/>
    <xf numFmtId="3" fontId="11" fillId="2" borderId="0" xfId="0" applyNumberFormat="1" applyFont="1" applyFill="1" applyAlignment="1">
      <alignment horizontal="right"/>
    </xf>
    <xf numFmtId="3" fontId="13" fillId="2" borderId="0" xfId="0" applyNumberFormat="1" applyFont="1" applyFill="1" applyAlignment="1">
      <alignment horizontal="left" wrapText="1"/>
    </xf>
    <xf numFmtId="3" fontId="12" fillId="2" borderId="0" xfId="0" applyNumberFormat="1" applyFont="1" applyFill="1" applyAlignment="1">
      <alignment horizontal="right"/>
    </xf>
    <xf numFmtId="1" fontId="12" fillId="2" borderId="0" xfId="0" applyNumberFormat="1" applyFont="1" applyFill="1" applyAlignment="1">
      <alignment wrapText="1"/>
    </xf>
    <xf numFmtId="1" fontId="12" fillId="2" borderId="0" xfId="0" applyNumberFormat="1" applyFont="1" applyFill="1" applyAlignment="1">
      <alignment horizontal="right"/>
    </xf>
    <xf numFmtId="1" fontId="12" fillId="5" borderId="2" xfId="0" applyNumberFormat="1" applyFont="1" applyFill="1" applyBorder="1" applyAlignment="1">
      <alignment horizontal="right"/>
    </xf>
    <xf numFmtId="184" fontId="12" fillId="5" borderId="2" xfId="0" applyNumberFormat="1" applyFont="1" applyFill="1" applyBorder="1" applyAlignment="1">
      <alignment horizontal="right"/>
    </xf>
    <xf numFmtId="1" fontId="11" fillId="2" borderId="0" xfId="0" applyNumberFormat="1" applyFont="1" applyFill="1" applyAlignment="1">
      <alignment horizontal="center"/>
    </xf>
    <xf numFmtId="1" fontId="11" fillId="2" borderId="0" xfId="0" applyNumberFormat="1" applyFont="1" applyFill="1"/>
    <xf numFmtId="1" fontId="12" fillId="0" borderId="0" xfId="0" applyNumberFormat="1" applyFont="1" applyAlignment="1">
      <alignment horizontal="right"/>
    </xf>
    <xf numFmtId="184" fontId="12" fillId="0" borderId="0" xfId="0" applyNumberFormat="1" applyFont="1" applyAlignment="1">
      <alignment horizontal="right"/>
    </xf>
    <xf numFmtId="1" fontId="11" fillId="0" borderId="0" xfId="0" applyNumberFormat="1" applyFont="1" applyAlignment="1">
      <alignment horizontal="center"/>
    </xf>
    <xf numFmtId="1" fontId="11" fillId="0" borderId="0" xfId="0" applyNumberFormat="1" applyFont="1"/>
    <xf numFmtId="176" fontId="14" fillId="2" borderId="0" xfId="1" applyNumberFormat="1" applyFont="1" applyFill="1" applyBorder="1" applyAlignment="1" applyProtection="1">
      <alignment horizontal="right"/>
      <protection locked="0"/>
    </xf>
    <xf numFmtId="178" fontId="14" fillId="0" borderId="0" xfId="0" applyNumberFormat="1" applyFont="1" applyAlignment="1">
      <alignment vertical="top"/>
    </xf>
    <xf numFmtId="186" fontId="11" fillId="2" borderId="0" xfId="0" applyNumberFormat="1" applyFont="1" applyFill="1" applyAlignment="1">
      <alignment horizontal="right"/>
    </xf>
    <xf numFmtId="10" fontId="11" fillId="2" borderId="0" xfId="4" applyNumberFormat="1" applyFont="1" applyFill="1"/>
    <xf numFmtId="180" fontId="11" fillId="0" borderId="0" xfId="0" applyNumberFormat="1" applyFont="1" applyAlignment="1">
      <alignment vertical="top"/>
    </xf>
    <xf numFmtId="187" fontId="11" fillId="2" borderId="0" xfId="0" applyNumberFormat="1" applyFont="1" applyFill="1" applyAlignment="1" applyProtection="1">
      <alignment horizontal="left" indent="1"/>
      <protection locked="0"/>
    </xf>
    <xf numFmtId="37" fontId="11" fillId="2" borderId="0" xfId="0" applyNumberFormat="1" applyFont="1" applyFill="1" applyAlignment="1">
      <alignment vertical="top"/>
    </xf>
    <xf numFmtId="3" fontId="14" fillId="2" borderId="0" xfId="0" applyNumberFormat="1" applyFont="1" applyFill="1" applyAlignment="1">
      <alignment horizontal="right"/>
    </xf>
    <xf numFmtId="0" fontId="11" fillId="2" borderId="0" xfId="0" applyFont="1" applyFill="1" applyAlignment="1">
      <alignment vertical="top"/>
    </xf>
    <xf numFmtId="3" fontId="12" fillId="2" borderId="0" xfId="0" applyNumberFormat="1" applyFont="1" applyFill="1" applyAlignment="1">
      <alignment wrapText="1"/>
    </xf>
    <xf numFmtId="176" fontId="14" fillId="2" borderId="0" xfId="0" applyNumberFormat="1" applyFont="1" applyFill="1" applyAlignment="1" applyProtection="1">
      <alignment horizontal="right"/>
      <protection locked="0"/>
    </xf>
    <xf numFmtId="37" fontId="25" fillId="6" borderId="4" xfId="0" applyNumberFormat="1" applyFont="1" applyFill="1" applyBorder="1" applyAlignment="1" applyProtection="1">
      <alignment horizontal="right"/>
      <protection locked="0"/>
    </xf>
    <xf numFmtId="37" fontId="12" fillId="6" borderId="4" xfId="0" applyNumberFormat="1" applyFont="1" applyFill="1" applyBorder="1" applyAlignment="1">
      <alignment horizontal="right"/>
    </xf>
    <xf numFmtId="37" fontId="11" fillId="2" borderId="0" xfId="0" applyNumberFormat="1" applyFont="1" applyFill="1"/>
    <xf numFmtId="3" fontId="11" fillId="2" borderId="0" xfId="0" applyNumberFormat="1" applyFont="1" applyFill="1" applyAlignment="1">
      <alignment wrapText="1"/>
    </xf>
    <xf numFmtId="37" fontId="14" fillId="2" borderId="0" xfId="0" applyNumberFormat="1" applyFont="1" applyFill="1" applyAlignment="1" applyProtection="1">
      <alignment horizontal="right"/>
      <protection locked="0"/>
    </xf>
    <xf numFmtId="37" fontId="14" fillId="2" borderId="14" xfId="0" applyNumberFormat="1" applyFont="1" applyFill="1" applyBorder="1" applyAlignment="1" applyProtection="1">
      <alignment horizontal="right"/>
      <protection locked="0"/>
    </xf>
    <xf numFmtId="1" fontId="14" fillId="2" borderId="0" xfId="0" applyNumberFormat="1" applyFont="1" applyFill="1" applyAlignment="1" applyProtection="1">
      <alignment horizontal="right"/>
      <protection locked="0"/>
    </xf>
    <xf numFmtId="1" fontId="11" fillId="2" borderId="0" xfId="0" applyNumberFormat="1" applyFont="1" applyFill="1" applyAlignment="1">
      <alignment horizontal="right"/>
    </xf>
    <xf numFmtId="3" fontId="12" fillId="2" borderId="0" xfId="0" applyNumberFormat="1" applyFont="1" applyFill="1" applyAlignment="1">
      <alignment horizontal="left" wrapText="1"/>
    </xf>
    <xf numFmtId="3" fontId="14" fillId="2" borderId="0" xfId="0" applyNumberFormat="1" applyFont="1" applyFill="1" applyProtection="1">
      <protection locked="0"/>
    </xf>
    <xf numFmtId="37" fontId="14" fillId="2" borderId="0" xfId="0" applyNumberFormat="1" applyFont="1" applyFill="1" applyProtection="1">
      <protection locked="0"/>
    </xf>
    <xf numFmtId="178" fontId="11" fillId="2" borderId="0" xfId="0" applyNumberFormat="1" applyFont="1" applyFill="1" applyAlignment="1">
      <alignment vertical="top"/>
    </xf>
    <xf numFmtId="37" fontId="14" fillId="2" borderId="0" xfId="0" applyNumberFormat="1" applyFont="1" applyFill="1" applyAlignment="1">
      <alignment horizontal="right"/>
    </xf>
    <xf numFmtId="37" fontId="11" fillId="2" borderId="1" xfId="0" applyNumberFormat="1" applyFont="1" applyFill="1" applyBorder="1" applyAlignment="1">
      <alignment horizontal="right"/>
    </xf>
    <xf numFmtId="37" fontId="25" fillId="2" borderId="8" xfId="1" applyNumberFormat="1" applyFont="1" applyFill="1" applyBorder="1" applyAlignment="1" applyProtection="1">
      <alignment horizontal="right"/>
      <protection locked="0"/>
    </xf>
    <xf numFmtId="37" fontId="12" fillId="2" borderId="8" xfId="0" applyNumberFormat="1" applyFont="1" applyFill="1" applyBorder="1" applyAlignment="1">
      <alignment horizontal="right"/>
    </xf>
    <xf numFmtId="3" fontId="11" fillId="2" borderId="0" xfId="0" applyNumberFormat="1" applyFont="1" applyFill="1" applyAlignment="1">
      <alignment horizontal="left" wrapText="1"/>
    </xf>
    <xf numFmtId="37" fontId="14" fillId="2" borderId="1" xfId="1" applyNumberFormat="1" applyFont="1" applyFill="1" applyBorder="1" applyAlignment="1" applyProtection="1">
      <alignment horizontal="right"/>
      <protection locked="0"/>
    </xf>
    <xf numFmtId="37" fontId="25" fillId="2" borderId="0" xfId="1" applyNumberFormat="1" applyFont="1" applyFill="1" applyAlignment="1" applyProtection="1">
      <alignment horizontal="right"/>
      <protection locked="0"/>
    </xf>
    <xf numFmtId="37" fontId="12" fillId="2" borderId="0" xfId="0" applyNumberFormat="1" applyFont="1" applyFill="1" applyAlignment="1">
      <alignment horizontal="right"/>
    </xf>
    <xf numFmtId="37" fontId="14" fillId="2" borderId="1" xfId="0" applyNumberFormat="1" applyFont="1" applyFill="1" applyBorder="1" applyAlignment="1" applyProtection="1">
      <alignment horizontal="right"/>
      <protection locked="0"/>
    </xf>
    <xf numFmtId="187" fontId="14" fillId="2" borderId="0" xfId="0" applyNumberFormat="1" applyFont="1" applyFill="1" applyAlignment="1" applyProtection="1">
      <alignment horizontal="right"/>
      <protection locked="0"/>
    </xf>
    <xf numFmtId="37" fontId="25" fillId="2" borderId="3" xfId="0" applyNumberFormat="1" applyFont="1" applyFill="1" applyBorder="1" applyAlignment="1" applyProtection="1">
      <alignment horizontal="right"/>
      <protection locked="0"/>
    </xf>
    <xf numFmtId="37" fontId="12" fillId="2" borderId="3" xfId="0" applyNumberFormat="1" applyFont="1" applyFill="1" applyBorder="1" applyAlignment="1">
      <alignment horizontal="right"/>
    </xf>
    <xf numFmtId="1" fontId="12" fillId="2" borderId="0" xfId="0" applyNumberFormat="1" applyFont="1" applyFill="1" applyAlignment="1" applyProtection="1">
      <alignment horizontal="left"/>
      <protection locked="0"/>
    </xf>
    <xf numFmtId="176" fontId="11" fillId="2" borderId="0" xfId="0" applyNumberFormat="1" applyFont="1" applyFill="1"/>
    <xf numFmtId="0" fontId="14" fillId="2" borderId="0" xfId="0" applyFont="1" applyFill="1"/>
    <xf numFmtId="37" fontId="14" fillId="2" borderId="0" xfId="0" applyNumberFormat="1" applyFont="1" applyFill="1"/>
    <xf numFmtId="176" fontId="30" fillId="2" borderId="0" xfId="1" applyNumberFormat="1" applyFont="1" applyFill="1" applyAlignment="1" applyProtection="1">
      <alignment horizontal="right"/>
      <protection locked="0"/>
    </xf>
    <xf numFmtId="187" fontId="11" fillId="2" borderId="0" xfId="0" applyNumberFormat="1" applyFont="1" applyFill="1"/>
    <xf numFmtId="188" fontId="31" fillId="2" borderId="0" xfId="0" applyNumberFormat="1" applyFont="1" applyFill="1" applyAlignment="1">
      <alignment horizontal="right"/>
    </xf>
    <xf numFmtId="3" fontId="22" fillId="2" borderId="0" xfId="0" applyNumberFormat="1" applyFont="1" applyFill="1" applyAlignment="1">
      <alignment horizontal="right"/>
    </xf>
    <xf numFmtId="0" fontId="11" fillId="2" borderId="16" xfId="0" applyFont="1" applyFill="1" applyBorder="1"/>
    <xf numFmtId="0" fontId="32" fillId="2" borderId="0" xfId="0" applyFont="1" applyFill="1" applyAlignment="1">
      <alignment horizontal="left" wrapText="1"/>
    </xf>
    <xf numFmtId="184" fontId="12" fillId="5" borderId="16" xfId="0" applyNumberFormat="1" applyFont="1" applyFill="1" applyBorder="1"/>
    <xf numFmtId="178" fontId="11" fillId="2" borderId="0" xfId="0" applyNumberFormat="1" applyFont="1" applyFill="1"/>
    <xf numFmtId="37" fontId="11" fillId="2" borderId="1" xfId="0" applyNumberFormat="1" applyFont="1" applyFill="1" applyBorder="1"/>
    <xf numFmtId="0" fontId="12" fillId="2" borderId="0" xfId="0" applyFont="1" applyFill="1"/>
    <xf numFmtId="37" fontId="11" fillId="6" borderId="0" xfId="0" applyNumberFormat="1" applyFont="1" applyFill="1"/>
    <xf numFmtId="176" fontId="11" fillId="2" borderId="1" xfId="0" applyNumberFormat="1" applyFont="1" applyFill="1" applyBorder="1"/>
    <xf numFmtId="0" fontId="33" fillId="2" borderId="0" xfId="0" applyFont="1" applyFill="1"/>
    <xf numFmtId="184" fontId="12" fillId="5" borderId="2" xfId="0" applyNumberFormat="1" applyFont="1" applyFill="1" applyBorder="1"/>
    <xf numFmtId="3" fontId="12" fillId="2" borderId="0" xfId="0" applyNumberFormat="1" applyFont="1" applyFill="1"/>
    <xf numFmtId="181" fontId="14" fillId="2" borderId="0" xfId="0" applyNumberFormat="1" applyFont="1" applyFill="1"/>
    <xf numFmtId="181" fontId="11" fillId="2" borderId="0" xfId="0" applyNumberFormat="1" applyFont="1" applyFill="1"/>
    <xf numFmtId="191" fontId="12" fillId="2" borderId="0" xfId="0" applyNumberFormat="1" applyFont="1" applyFill="1"/>
    <xf numFmtId="0" fontId="12" fillId="2" borderId="17" xfId="0" applyFont="1" applyFill="1" applyBorder="1"/>
    <xf numFmtId="0" fontId="11" fillId="2" borderId="17" xfId="0" applyFont="1" applyFill="1" applyBorder="1"/>
    <xf numFmtId="37" fontId="13" fillId="2" borderId="0" xfId="0" applyNumberFormat="1" applyFont="1" applyFill="1" applyAlignment="1">
      <alignment horizontal="left" wrapText="1"/>
    </xf>
    <xf numFmtId="184" fontId="12" fillId="2" borderId="0" xfId="0" applyNumberFormat="1" applyFont="1" applyFill="1"/>
    <xf numFmtId="37" fontId="12" fillId="2" borderId="0" xfId="0" applyNumberFormat="1" applyFont="1" applyFill="1" applyAlignment="1">
      <alignment wrapText="1"/>
    </xf>
    <xf numFmtId="37" fontId="11" fillId="2" borderId="0" xfId="0" applyNumberFormat="1" applyFont="1" applyFill="1" applyAlignment="1">
      <alignment horizontal="left" wrapText="1" indent="1"/>
    </xf>
    <xf numFmtId="37" fontId="12" fillId="6" borderId="3" xfId="0" applyNumberFormat="1" applyFont="1" applyFill="1" applyBorder="1"/>
    <xf numFmtId="37" fontId="11" fillId="2" borderId="0" xfId="0" applyNumberFormat="1" applyFont="1" applyFill="1" applyAlignment="1">
      <alignment wrapText="1"/>
    </xf>
    <xf numFmtId="37" fontId="12" fillId="2" borderId="0" xfId="0" applyNumberFormat="1" applyFont="1" applyFill="1"/>
    <xf numFmtId="37" fontId="34" fillId="2" borderId="0" xfId="0" applyNumberFormat="1" applyFont="1" applyFill="1"/>
    <xf numFmtId="0" fontId="12" fillId="2" borderId="16" xfId="0" applyFont="1" applyFill="1" applyBorder="1"/>
    <xf numFmtId="0" fontId="12" fillId="2" borderId="0" xfId="0" applyFont="1" applyFill="1" applyAlignment="1">
      <alignment horizontal="right"/>
    </xf>
    <xf numFmtId="0" fontId="12" fillId="5" borderId="2" xfId="0" applyFont="1" applyFill="1" applyBorder="1" applyAlignment="1">
      <alignment horizontal="right"/>
    </xf>
    <xf numFmtId="3" fontId="35" fillId="2" borderId="0" xfId="0" applyNumberFormat="1" applyFont="1" applyFill="1" applyAlignment="1">
      <alignment horizontal="left" wrapText="1"/>
    </xf>
    <xf numFmtId="37" fontId="26" fillId="2" borderId="0" xfId="0" applyNumberFormat="1" applyFont="1" applyFill="1"/>
    <xf numFmtId="0" fontId="35" fillId="2" borderId="0" xfId="0" applyFont="1" applyFill="1" applyAlignment="1">
      <alignment horizontal="left" wrapText="1"/>
    </xf>
    <xf numFmtId="1" fontId="32" fillId="2" borderId="0" xfId="6" applyNumberFormat="1" applyFont="1" applyFill="1" applyAlignment="1">
      <alignment horizontal="left" vertical="top"/>
    </xf>
    <xf numFmtId="1" fontId="35" fillId="2" borderId="0" xfId="6" applyNumberFormat="1" applyFont="1" applyFill="1" applyAlignment="1">
      <alignment horizontal="left" vertical="top"/>
    </xf>
    <xf numFmtId="37" fontId="12" fillId="6" borderId="8" xfId="0" applyNumberFormat="1" applyFont="1" applyFill="1" applyBorder="1"/>
    <xf numFmtId="37" fontId="12" fillId="6" borderId="0" xfId="0" applyNumberFormat="1" applyFont="1" applyFill="1"/>
    <xf numFmtId="0" fontId="36" fillId="4" borderId="15" xfId="0" applyFont="1" applyFill="1" applyBorder="1"/>
    <xf numFmtId="0" fontId="12" fillId="2" borderId="0" xfId="0" applyFont="1" applyFill="1" applyAlignment="1">
      <alignment horizontal="center"/>
    </xf>
    <xf numFmtId="189" fontId="11" fillId="2" borderId="0" xfId="0" applyNumberFormat="1" applyFont="1" applyFill="1"/>
    <xf numFmtId="189" fontId="11" fillId="7" borderId="18" xfId="0" applyNumberFormat="1" applyFont="1" applyFill="1" applyBorder="1"/>
    <xf numFmtId="189" fontId="11" fillId="7" borderId="19" xfId="0" applyNumberFormat="1" applyFont="1" applyFill="1" applyBorder="1"/>
    <xf numFmtId="189" fontId="11" fillId="7" borderId="20" xfId="0" applyNumberFormat="1" applyFont="1" applyFill="1" applyBorder="1"/>
    <xf numFmtId="189" fontId="11" fillId="7" borderId="0" xfId="0" applyNumberFormat="1" applyFont="1" applyFill="1"/>
    <xf numFmtId="181" fontId="11" fillId="2" borderId="0" xfId="4" applyNumberFormat="1" applyFont="1" applyFill="1"/>
    <xf numFmtId="181" fontId="11" fillId="7" borderId="20" xfId="4" applyNumberFormat="1" applyFont="1" applyFill="1" applyBorder="1"/>
    <xf numFmtId="181" fontId="11" fillId="7" borderId="0" xfId="4" applyNumberFormat="1" applyFont="1" applyFill="1" applyBorder="1"/>
    <xf numFmtId="181" fontId="11" fillId="7" borderId="21" xfId="4" applyNumberFormat="1" applyFont="1" applyFill="1" applyBorder="1"/>
    <xf numFmtId="181" fontId="11" fillId="7" borderId="16" xfId="4" applyNumberFormat="1" applyFont="1" applyFill="1" applyBorder="1"/>
    <xf numFmtId="9" fontId="11" fillId="2" borderId="0" xfId="0" applyNumberFormat="1" applyFont="1" applyFill="1"/>
    <xf numFmtId="0" fontId="37" fillId="2" borderId="0" xfId="0" applyFont="1" applyFill="1"/>
    <xf numFmtId="1" fontId="12" fillId="5" borderId="16" xfId="0" applyNumberFormat="1" applyFont="1" applyFill="1" applyBorder="1"/>
    <xf numFmtId="37" fontId="12" fillId="6" borderId="1" xfId="0" applyNumberFormat="1" applyFont="1" applyFill="1" applyBorder="1"/>
    <xf numFmtId="10" fontId="11" fillId="2" borderId="0" xfId="0" applyNumberFormat="1" applyFont="1" applyFill="1"/>
    <xf numFmtId="193" fontId="11" fillId="2" borderId="0" xfId="0" applyNumberFormat="1" applyFont="1" applyFill="1"/>
    <xf numFmtId="185" fontId="11" fillId="2" borderId="0" xfId="0" applyNumberFormat="1" applyFont="1" applyFill="1"/>
    <xf numFmtId="0" fontId="11" fillId="8" borderId="0" xfId="0" applyFont="1" applyFill="1"/>
    <xf numFmtId="0" fontId="38" fillId="8" borderId="0" xfId="0" applyFont="1" applyFill="1" applyAlignment="1">
      <alignment horizontal="right"/>
    </xf>
    <xf numFmtId="1" fontId="12" fillId="2" borderId="0" xfId="0" applyNumberFormat="1" applyFont="1" applyFill="1"/>
    <xf numFmtId="37" fontId="11" fillId="8" borderId="0" xfId="0" applyNumberFormat="1" applyFont="1" applyFill="1"/>
    <xf numFmtId="9" fontId="39" fillId="8" borderId="0" xfId="0" applyNumberFormat="1" applyFont="1" applyFill="1"/>
    <xf numFmtId="1" fontId="14" fillId="8" borderId="0" xfId="0" applyNumberFormat="1" applyFont="1" applyFill="1"/>
    <xf numFmtId="37" fontId="17" fillId="8" borderId="0" xfId="0" applyNumberFormat="1" applyFont="1" applyFill="1"/>
    <xf numFmtId="1" fontId="11" fillId="8" borderId="0" xfId="0" applyNumberFormat="1" applyFont="1" applyFill="1"/>
    <xf numFmtId="201" fontId="11" fillId="2" borderId="0" xfId="0" applyNumberFormat="1" applyFont="1" applyFill="1"/>
    <xf numFmtId="201" fontId="11" fillId="2" borderId="1" xfId="0" applyNumberFormat="1" applyFont="1" applyFill="1" applyBorder="1"/>
    <xf numFmtId="201" fontId="11" fillId="6" borderId="0" xfId="0" applyNumberFormat="1" applyFont="1" applyFill="1"/>
    <xf numFmtId="201" fontId="12" fillId="6" borderId="3" xfId="0" applyNumberFormat="1" applyFont="1" applyFill="1" applyBorder="1"/>
    <xf numFmtId="201" fontId="14" fillId="2" borderId="0" xfId="0" applyNumberFormat="1" applyFont="1" applyFill="1"/>
    <xf numFmtId="201" fontId="14" fillId="0" borderId="0" xfId="0" applyNumberFormat="1" applyFont="1" applyAlignment="1">
      <alignment vertical="top"/>
    </xf>
    <xf numFmtId="201" fontId="14" fillId="2" borderId="0" xfId="1" applyNumberFormat="1" applyFont="1" applyFill="1" applyAlignment="1" applyProtection="1">
      <alignment horizontal="right"/>
      <protection locked="0"/>
    </xf>
    <xf numFmtId="201" fontId="14" fillId="2" borderId="0" xfId="1" applyNumberFormat="1" applyFont="1" applyFill="1" applyBorder="1" applyAlignment="1" applyProtection="1">
      <alignment horizontal="right"/>
      <protection locked="0"/>
    </xf>
    <xf numFmtId="201" fontId="11" fillId="2" borderId="0" xfId="0" applyNumberFormat="1" applyFont="1" applyFill="1" applyAlignment="1">
      <alignment horizontal="right"/>
    </xf>
    <xf numFmtId="201" fontId="25" fillId="6" borderId="4" xfId="0" applyNumberFormat="1" applyFont="1" applyFill="1" applyBorder="1" applyAlignment="1" applyProtection="1">
      <alignment horizontal="right"/>
      <protection locked="0"/>
    </xf>
    <xf numFmtId="201" fontId="14" fillId="2" borderId="0" xfId="0" applyNumberFormat="1" applyFont="1" applyFill="1" applyAlignment="1" applyProtection="1">
      <alignment horizontal="right"/>
      <protection locked="0"/>
    </xf>
    <xf numFmtId="201" fontId="14" fillId="2" borderId="0" xfId="0" applyNumberFormat="1" applyFont="1" applyFill="1" applyProtection="1">
      <protection locked="0"/>
    </xf>
    <xf numFmtId="201" fontId="25" fillId="2" borderId="8" xfId="1" applyNumberFormat="1" applyFont="1" applyFill="1" applyBorder="1" applyAlignment="1" applyProtection="1">
      <alignment horizontal="right"/>
      <protection locked="0"/>
    </xf>
    <xf numFmtId="201" fontId="14" fillId="2" borderId="1" xfId="1" applyNumberFormat="1" applyFont="1" applyFill="1" applyBorder="1" applyAlignment="1" applyProtection="1">
      <alignment horizontal="right"/>
      <protection locked="0"/>
    </xf>
    <xf numFmtId="201" fontId="25" fillId="2" borderId="0" xfId="1" applyNumberFormat="1" applyFont="1" applyFill="1" applyAlignment="1" applyProtection="1">
      <alignment horizontal="right"/>
      <protection locked="0"/>
    </xf>
    <xf numFmtId="201" fontId="25" fillId="2" borderId="3" xfId="0" applyNumberFormat="1" applyFont="1" applyFill="1" applyBorder="1" applyAlignment="1" applyProtection="1">
      <alignment horizontal="right"/>
      <protection locked="0"/>
    </xf>
    <xf numFmtId="201" fontId="14" fillId="0" borderId="0" xfId="2" applyNumberFormat="1" applyFont="1" applyFill="1" applyAlignment="1">
      <alignment horizontal="right"/>
    </xf>
    <xf numFmtId="201" fontId="11" fillId="0" borderId="0" xfId="2" applyNumberFormat="1" applyFont="1" applyFill="1" applyAlignment="1">
      <alignment horizontal="right"/>
    </xf>
    <xf numFmtId="201" fontId="12" fillId="0" borderId="8" xfId="0" applyNumberFormat="1" applyFont="1" applyBorder="1" applyAlignment="1">
      <alignment horizontal="right"/>
    </xf>
    <xf numFmtId="201" fontId="12" fillId="0" borderId="8" xfId="2" applyNumberFormat="1" applyFont="1" applyFill="1" applyBorder="1" applyAlignment="1">
      <alignment horizontal="right"/>
    </xf>
    <xf numFmtId="201" fontId="12" fillId="0" borderId="0" xfId="0" applyNumberFormat="1" applyFont="1" applyAlignment="1">
      <alignment horizontal="right"/>
    </xf>
    <xf numFmtId="201" fontId="12" fillId="0" borderId="0" xfId="4" applyNumberFormat="1" applyFont="1" applyBorder="1" applyAlignment="1">
      <alignment horizontal="right"/>
    </xf>
    <xf numFmtId="201" fontId="12" fillId="0" borderId="0" xfId="2" applyNumberFormat="1" applyFont="1" applyFill="1" applyBorder="1" applyAlignment="1">
      <alignment horizontal="right"/>
    </xf>
    <xf numFmtId="201" fontId="14" fillId="0" borderId="0" xfId="0" applyNumberFormat="1" applyFont="1" applyAlignment="1">
      <alignment horizontal="right"/>
    </xf>
    <xf numFmtId="201" fontId="11" fillId="0" borderId="0" xfId="2" applyNumberFormat="1" applyFont="1" applyFill="1" applyBorder="1" applyAlignment="1">
      <alignment horizontal="right"/>
    </xf>
    <xf numFmtId="201" fontId="11" fillId="0" borderId="0" xfId="0" applyNumberFormat="1" applyFont="1" applyAlignment="1">
      <alignment horizontal="right"/>
    </xf>
    <xf numFmtId="201" fontId="14" fillId="0" borderId="0" xfId="1" applyNumberFormat="1" applyFont="1" applyAlignment="1">
      <alignment vertical="top"/>
    </xf>
    <xf numFmtId="201" fontId="11" fillId="3" borderId="0" xfId="0" applyNumberFormat="1" applyFont="1" applyFill="1" applyAlignment="1">
      <alignment horizontal="right"/>
    </xf>
    <xf numFmtId="201" fontId="11" fillId="0" borderId="1" xfId="0" applyNumberFormat="1" applyFont="1" applyBorder="1" applyAlignment="1">
      <alignment horizontal="right"/>
    </xf>
    <xf numFmtId="201" fontId="11" fillId="6" borderId="4" xfId="0" applyNumberFormat="1" applyFont="1" applyFill="1" applyBorder="1" applyAlignment="1">
      <alignment vertical="top"/>
    </xf>
    <xf numFmtId="0" fontId="11" fillId="2" borderId="0" xfId="3" applyFont="1" applyFill="1"/>
    <xf numFmtId="23" fontId="11" fillId="2" borderId="0" xfId="0" applyNumberFormat="1" applyFont="1" applyFill="1"/>
    <xf numFmtId="181" fontId="21" fillId="2" borderId="0" xfId="0" applyNumberFormat="1" applyFont="1" applyFill="1"/>
    <xf numFmtId="10" fontId="21" fillId="2" borderId="0" xfId="0" applyNumberFormat="1" applyFont="1" applyFill="1"/>
    <xf numFmtId="176" fontId="22" fillId="2" borderId="0" xfId="0" applyNumberFormat="1" applyFont="1" applyFill="1"/>
    <xf numFmtId="23" fontId="11" fillId="2" borderId="1" xfId="0" applyNumberFormat="1" applyFont="1" applyFill="1" applyBorder="1"/>
    <xf numFmtId="0" fontId="12" fillId="2" borderId="0" xfId="7" applyFont="1" applyFill="1"/>
    <xf numFmtId="0" fontId="25" fillId="2" borderId="0" xfId="0" applyFont="1" applyFill="1"/>
    <xf numFmtId="202" fontId="11" fillId="2" borderId="0" xfId="0" applyNumberFormat="1" applyFont="1" applyFill="1"/>
    <xf numFmtId="187" fontId="14" fillId="0" borderId="0" xfId="2" applyNumberFormat="1" applyFont="1" applyFill="1" applyAlignment="1">
      <alignment horizontal="right"/>
    </xf>
    <xf numFmtId="0" fontId="17" fillId="2" borderId="0" xfId="0" applyFont="1" applyFill="1"/>
    <xf numFmtId="9" fontId="21" fillId="0" borderId="0" xfId="7" applyNumberFormat="1" applyFont="1"/>
    <xf numFmtId="9" fontId="14" fillId="0" borderId="0" xfId="7" applyNumberFormat="1" applyFont="1"/>
    <xf numFmtId="197" fontId="11" fillId="0" borderId="0" xfId="7" applyNumberFormat="1" applyFont="1"/>
    <xf numFmtId="196" fontId="11" fillId="0" borderId="0" xfId="7" applyNumberFormat="1" applyFont="1"/>
    <xf numFmtId="198" fontId="21" fillId="0" borderId="0" xfId="7" applyNumberFormat="1" applyFont="1" applyAlignment="1">
      <alignment horizontal="right"/>
    </xf>
    <xf numFmtId="199" fontId="14" fillId="0" borderId="0" xfId="7" applyNumberFormat="1" applyFont="1"/>
    <xf numFmtId="37" fontId="11" fillId="0" borderId="0" xfId="7" applyNumberFormat="1" applyFont="1"/>
    <xf numFmtId="194" fontId="12" fillId="0" borderId="0" xfId="1" applyNumberFormat="1" applyFont="1" applyFill="1"/>
    <xf numFmtId="190" fontId="11" fillId="0" borderId="0" xfId="7" applyNumberFormat="1" applyFont="1"/>
    <xf numFmtId="0" fontId="20" fillId="0" borderId="23" xfId="7" applyFont="1" applyBorder="1" applyAlignment="1">
      <alignment horizontal="right"/>
    </xf>
    <xf numFmtId="194" fontId="12" fillId="0" borderId="0" xfId="7" applyNumberFormat="1" applyFont="1"/>
    <xf numFmtId="10" fontId="11" fillId="0" borderId="24" xfId="7" applyNumberFormat="1" applyFont="1" applyBorder="1"/>
    <xf numFmtId="194" fontId="11" fillId="0" borderId="0" xfId="7" applyNumberFormat="1" applyFont="1"/>
    <xf numFmtId="10" fontId="11" fillId="0" borderId="25" xfId="7" applyNumberFormat="1" applyFont="1" applyBorder="1"/>
    <xf numFmtId="0" fontId="12" fillId="0" borderId="0" xfId="7" applyFont="1" applyAlignment="1">
      <alignment horizontal="center"/>
    </xf>
    <xf numFmtId="9" fontId="11" fillId="0" borderId="0" xfId="7" applyNumberFormat="1" applyFont="1" applyAlignment="1">
      <alignment horizontal="center"/>
    </xf>
    <xf numFmtId="201" fontId="11" fillId="0" borderId="0" xfId="7" applyNumberFormat="1" applyFont="1" applyAlignment="1">
      <alignment horizontal="center"/>
    </xf>
    <xf numFmtId="37" fontId="11" fillId="0" borderId="0" xfId="7" applyNumberFormat="1" applyFont="1" applyAlignment="1">
      <alignment horizontal="center"/>
    </xf>
    <xf numFmtId="3" fontId="11" fillId="0" borderId="0" xfId="7" applyNumberFormat="1" applyFont="1"/>
    <xf numFmtId="0" fontId="20" fillId="0" borderId="1" xfId="3" applyFont="1" applyBorder="1"/>
    <xf numFmtId="0" fontId="12" fillId="0" borderId="0" xfId="3" quotePrefix="1" applyFont="1" applyAlignment="1">
      <alignment horizontal="left"/>
    </xf>
    <xf numFmtId="14" fontId="21" fillId="0" borderId="0" xfId="3" applyNumberFormat="1" applyFont="1"/>
    <xf numFmtId="195" fontId="12" fillId="0" borderId="0" xfId="3" applyNumberFormat="1" applyFont="1"/>
    <xf numFmtId="37" fontId="11" fillId="0" borderId="0" xfId="3" applyNumberFormat="1" applyFont="1" applyAlignment="1">
      <alignment horizontal="right"/>
    </xf>
    <xf numFmtId="3" fontId="21" fillId="0" borderId="0" xfId="3" applyNumberFormat="1" applyFont="1"/>
    <xf numFmtId="196" fontId="11" fillId="0" borderId="0" xfId="3" applyNumberFormat="1" applyFont="1"/>
    <xf numFmtId="10" fontId="21" fillId="0" borderId="0" xfId="3" applyNumberFormat="1" applyFont="1"/>
    <xf numFmtId="3" fontId="11" fillId="0" borderId="0" xfId="3" applyNumberFormat="1" applyFont="1"/>
    <xf numFmtId="3" fontId="17" fillId="0" borderId="0" xfId="3" applyNumberFormat="1" applyFont="1"/>
    <xf numFmtId="196" fontId="21" fillId="0" borderId="0" xfId="3" applyNumberFormat="1" applyFont="1"/>
    <xf numFmtId="177" fontId="11" fillId="0" borderId="0" xfId="3" applyNumberFormat="1" applyFont="1"/>
    <xf numFmtId="0" fontId="14" fillId="0" borderId="0" xfId="7" applyFont="1"/>
    <xf numFmtId="14" fontId="11" fillId="0" borderId="0" xfId="0" applyNumberFormat="1" applyFont="1"/>
    <xf numFmtId="14" fontId="21" fillId="0" borderId="0" xfId="7" applyNumberFormat="1" applyFont="1" applyAlignment="1">
      <alignment horizontal="right"/>
    </xf>
    <xf numFmtId="201" fontId="11" fillId="0" borderId="0" xfId="3" applyNumberFormat="1" applyFont="1" applyAlignment="1">
      <alignment horizontal="right"/>
    </xf>
    <xf numFmtId="0" fontId="12" fillId="0" borderId="0" xfId="7" applyFont="1"/>
    <xf numFmtId="39" fontId="21" fillId="0" borderId="0" xfId="7" applyNumberFormat="1" applyFont="1" applyAlignment="1">
      <alignment horizontal="right"/>
    </xf>
    <xf numFmtId="39" fontId="21" fillId="0" borderId="0" xfId="3" applyNumberFormat="1" applyFont="1" applyAlignment="1">
      <alignment horizontal="right"/>
    </xf>
    <xf numFmtId="3" fontId="11" fillId="0" borderId="0" xfId="3" applyNumberFormat="1" applyFont="1" applyAlignment="1">
      <alignment horizontal="right"/>
    </xf>
    <xf numFmtId="3" fontId="11" fillId="0" borderId="22" xfId="3" applyNumberFormat="1" applyFont="1" applyBorder="1" applyAlignment="1">
      <alignment horizontal="right"/>
    </xf>
    <xf numFmtId="3" fontId="12" fillId="0" borderId="0" xfId="3" applyNumberFormat="1" applyFont="1" applyAlignment="1">
      <alignment horizontal="right"/>
    </xf>
    <xf numFmtId="0" fontId="11" fillId="0" borderId="0" xfId="3" applyFont="1" applyAlignment="1">
      <alignment horizontal="right"/>
    </xf>
    <xf numFmtId="3" fontId="11" fillId="0" borderId="22" xfId="3" applyNumberFormat="1" applyFont="1" applyBorder="1"/>
    <xf numFmtId="3" fontId="12" fillId="0" borderId="0" xfId="3" applyNumberFormat="1" applyFont="1"/>
    <xf numFmtId="10" fontId="11" fillId="0" borderId="0" xfId="3" applyNumberFormat="1" applyFont="1"/>
    <xf numFmtId="10" fontId="11" fillId="0" borderId="22" xfId="3" applyNumberFormat="1" applyFont="1" applyBorder="1"/>
    <xf numFmtId="3" fontId="26" fillId="0" borderId="0" xfId="3" applyNumberFormat="1" applyFont="1"/>
    <xf numFmtId="9" fontId="21" fillId="0" borderId="0" xfId="3" applyNumberFormat="1" applyFont="1"/>
    <xf numFmtId="181" fontId="14" fillId="0" borderId="0" xfId="3" applyNumberFormat="1" applyFont="1"/>
    <xf numFmtId="0" fontId="17" fillId="0" borderId="0" xfId="3" applyFont="1"/>
    <xf numFmtId="37" fontId="11" fillId="9" borderId="0" xfId="0" applyNumberFormat="1" applyFont="1" applyFill="1"/>
    <xf numFmtId="23" fontId="11" fillId="6" borderId="0" xfId="0" applyNumberFormat="1" applyFont="1" applyFill="1"/>
    <xf numFmtId="176" fontId="11" fillId="6" borderId="0" xfId="0" applyNumberFormat="1" applyFont="1" applyFill="1"/>
    <xf numFmtId="37" fontId="11" fillId="0" borderId="0" xfId="7" applyNumberFormat="1" applyFont="1" applyAlignment="1">
      <alignment horizontal="left"/>
    </xf>
    <xf numFmtId="10" fontId="11" fillId="0" borderId="0" xfId="7" applyNumberFormat="1" applyFont="1" applyAlignment="1">
      <alignment horizontal="right"/>
    </xf>
    <xf numFmtId="201" fontId="17" fillId="2" borderId="0" xfId="0" applyNumberFormat="1" applyFont="1" applyFill="1" applyAlignment="1">
      <alignment horizontal="right"/>
    </xf>
    <xf numFmtId="201" fontId="17" fillId="0" borderId="0" xfId="0" applyNumberFormat="1" applyFont="1" applyAlignment="1">
      <alignment vertical="top"/>
    </xf>
    <xf numFmtId="201" fontId="17" fillId="2" borderId="0" xfId="0" applyNumberFormat="1" applyFont="1" applyFill="1" applyAlignment="1" applyProtection="1">
      <alignment horizontal="right"/>
      <protection locked="0"/>
    </xf>
    <xf numFmtId="181" fontId="11" fillId="0" borderId="5" xfId="0" applyNumberFormat="1" applyFont="1" applyBorder="1" applyAlignment="1">
      <alignment horizontal="center" vertical="center"/>
    </xf>
    <xf numFmtId="181" fontId="11" fillId="0" borderId="3" xfId="0" applyNumberFormat="1" applyFont="1" applyBorder="1" applyAlignment="1">
      <alignment horizontal="center" vertical="center"/>
    </xf>
    <xf numFmtId="181" fontId="11" fillId="0" borderId="6" xfId="0" applyNumberFormat="1" applyFont="1" applyBorder="1" applyAlignment="1">
      <alignment horizontal="center" vertical="center"/>
    </xf>
    <xf numFmtId="185" fontId="11" fillId="0" borderId="7" xfId="6" applyNumberFormat="1" applyFont="1" applyBorder="1" applyAlignment="1">
      <alignment horizontal="center" vertical="center" wrapText="1"/>
    </xf>
    <xf numFmtId="185" fontId="11" fillId="0" borderId="8" xfId="6" applyNumberFormat="1" applyFont="1" applyBorder="1" applyAlignment="1">
      <alignment horizontal="center" vertical="center"/>
    </xf>
    <xf numFmtId="185" fontId="11" fillId="0" borderId="9" xfId="6" applyNumberFormat="1" applyFont="1" applyBorder="1" applyAlignment="1">
      <alignment horizontal="center" vertical="center"/>
    </xf>
    <xf numFmtId="185" fontId="11" fillId="0" borderId="10" xfId="6" applyNumberFormat="1" applyFont="1" applyBorder="1" applyAlignment="1">
      <alignment horizontal="center" vertical="center"/>
    </xf>
    <xf numFmtId="185" fontId="11" fillId="0" borderId="0" xfId="6" applyNumberFormat="1" applyFont="1" applyAlignment="1">
      <alignment horizontal="center" vertical="center"/>
    </xf>
    <xf numFmtId="185" fontId="11" fillId="0" borderId="11" xfId="6" applyNumberFormat="1" applyFont="1" applyBorder="1" applyAlignment="1">
      <alignment horizontal="center" vertical="center"/>
    </xf>
    <xf numFmtId="185" fontId="11" fillId="0" borderId="12" xfId="6" applyNumberFormat="1" applyFont="1" applyBorder="1" applyAlignment="1">
      <alignment horizontal="center" vertical="center"/>
    </xf>
    <xf numFmtId="185" fontId="11" fillId="0" borderId="1" xfId="6" applyNumberFormat="1" applyFont="1" applyBorder="1" applyAlignment="1">
      <alignment horizontal="center" vertical="center"/>
    </xf>
    <xf numFmtId="185" fontId="11" fillId="0" borderId="13" xfId="6" applyNumberFormat="1" applyFont="1" applyBorder="1" applyAlignment="1">
      <alignment horizontal="center" vertical="center"/>
    </xf>
    <xf numFmtId="181" fontId="11" fillId="0" borderId="5" xfId="0" applyNumberFormat="1" applyFont="1" applyBorder="1" applyAlignment="1">
      <alignment horizontal="center"/>
    </xf>
    <xf numFmtId="181" fontId="11" fillId="0" borderId="3" xfId="0" applyNumberFormat="1" applyFont="1" applyBorder="1" applyAlignment="1">
      <alignment horizontal="center"/>
    </xf>
    <xf numFmtId="181" fontId="11" fillId="0" borderId="6" xfId="0" applyNumberFormat="1" applyFont="1" applyBorder="1" applyAlignment="1">
      <alignment horizontal="center"/>
    </xf>
    <xf numFmtId="185" fontId="11" fillId="0" borderId="7" xfId="6" applyNumberFormat="1" applyFont="1" applyBorder="1" applyAlignment="1">
      <alignment horizontal="center" vertical="center"/>
    </xf>
    <xf numFmtId="0" fontId="11" fillId="0" borderId="1" xfId="7" applyFont="1" applyBorder="1" applyAlignment="1">
      <alignment horizontal="center"/>
    </xf>
    <xf numFmtId="1" fontId="12" fillId="2" borderId="16" xfId="0" applyNumberFormat="1" applyFont="1" applyFill="1" applyBorder="1" applyAlignment="1">
      <alignment horizontal="center"/>
    </xf>
  </cellXfs>
  <cellStyles count="8">
    <cellStyle name="Normal 2" xfId="3" xr:uid="{00000000-0005-0000-0000-000003000000}"/>
    <cellStyle name="Table_Header_Units" xfId="5" xr:uid="{00000000-0005-0000-0000-000005000000}"/>
    <cellStyle name="TextNormal" xfId="6" xr:uid="{00000000-0005-0000-0000-000006000000}"/>
    <cellStyle name="百分比" xfId="4" builtinId="5"/>
    <cellStyle name="常规" xfId="0" builtinId="0"/>
    <cellStyle name="常规 2" xfId="7" xr:uid="{BBAF08AB-13B1-8A45-AE3D-6C42CDBD09A6}"/>
    <cellStyle name="货币" xfId="2" builtinId="4"/>
    <cellStyle name="千位分隔" xfId="1" builtin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33CC"/>
      <color rgb="FFFFFFCC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xwechat_files\a1260782815_9128\msg\file\2025-10\LBO.xlsx" TargetMode="External"/><Relationship Id="rId1" Type="http://schemas.openxmlformats.org/officeDocument/2006/relationships/externalLinkPath" Target="/Users/Lenovo/xwechat_files/a1260782815_9128/msg/file/2025-10/LB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nellprod-my.sharepoint.com/personal/yl3989_cornell_edu/Documents/Copy%20of%20LBO.xlsx" TargetMode="External"/><Relationship Id="rId1" Type="http://schemas.openxmlformats.org/officeDocument/2006/relationships/externalLinkPath" Target="https://cornellprod-my.sharepoint.com/personal/yl3989_cornell_edu/Documents/Copy%20of%20LB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ssumptions"/>
      <sheetName val="Transaction Summary"/>
      <sheetName val="Return"/>
      <sheetName val="Balance Sheet"/>
      <sheetName val="Income Statement"/>
      <sheetName val="Debt &amp; SE Schedule"/>
      <sheetName val="SCF"/>
      <sheetName val="WC Schedule"/>
      <sheetName val="Fixed Asset Schedu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0">
          <cell r="C30">
            <v>365</v>
          </cell>
        </row>
      </sheetData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ssumptions"/>
      <sheetName val="Transaction Summary"/>
      <sheetName val="Return"/>
      <sheetName val="Balance Sheet"/>
      <sheetName val="Income Statement"/>
      <sheetName val="Debt &amp; SE Schedule"/>
      <sheetName val="SCF"/>
      <sheetName val="WC Schedule"/>
      <sheetName val="Fixed Asset Schedule"/>
    </sheetNames>
    <sheetDataSet>
      <sheetData sheetId="0">
        <row r="1">
          <cell r="A1" t="str">
            <v>Crocs, Inc.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28">
          <cell r="C28">
            <v>365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BFFAC-45F0-4449-810C-5030E0DA5587}">
  <sheetPr>
    <pageSetUpPr fitToPage="1"/>
  </sheetPr>
  <dimension ref="B1:K68"/>
  <sheetViews>
    <sheetView showGridLines="0" tabSelected="1" zoomScale="80" zoomScaleNormal="80" workbookViewId="0">
      <selection activeCell="B22" sqref="B22"/>
    </sheetView>
  </sheetViews>
  <sheetFormatPr defaultColWidth="8.796875" defaultRowHeight="13.5" x14ac:dyDescent="0.35"/>
  <cols>
    <col min="1" max="1" width="2.46484375" style="2" customWidth="1"/>
    <col min="2" max="2" width="93" style="2" customWidth="1"/>
    <col min="3" max="3" width="11.06640625" style="2" customWidth="1"/>
    <col min="4" max="4" width="17.59765625" style="2" bestFit="1" customWidth="1"/>
    <col min="5" max="9" width="16.06640625" style="2" customWidth="1"/>
    <col min="10" max="16384" width="8.796875" style="2"/>
  </cols>
  <sheetData>
    <row r="1" spans="2:9" ht="13.9" thickBot="1" x14ac:dyDescent="0.4">
      <c r="B1" s="1"/>
      <c r="C1" s="1"/>
      <c r="D1" s="1"/>
      <c r="E1" s="1"/>
      <c r="F1" s="1"/>
      <c r="G1" s="1"/>
      <c r="H1" s="1"/>
      <c r="I1" s="1"/>
    </row>
    <row r="2" spans="2:9" ht="14.25" thickBot="1" x14ac:dyDescent="0.45">
      <c r="B2" s="3" t="str">
        <f xml:space="preserve"> "Three-Statement Model for "  &amp;C5</f>
        <v>Three-Statement Model for CROCS, INC.</v>
      </c>
      <c r="C2" s="3"/>
      <c r="D2" s="3"/>
      <c r="E2" s="3"/>
      <c r="F2" s="4"/>
      <c r="G2" s="1"/>
      <c r="H2" s="1"/>
      <c r="I2" s="1"/>
    </row>
    <row r="3" spans="2:9" ht="13.9" x14ac:dyDescent="0.4">
      <c r="B3" s="5" t="str">
        <f>"(Dollars in "&amp;IF('Assumptions '!C8=0,"Thousands","Millions")&amp; " Except Per Share Data)"</f>
        <v>(Dollars in Thousands Except Per Share Data)</v>
      </c>
      <c r="H3" s="2" t="s">
        <v>7</v>
      </c>
      <c r="I3" s="2" t="s">
        <v>7</v>
      </c>
    </row>
    <row r="4" spans="2:9" ht="13.9" x14ac:dyDescent="0.4">
      <c r="B4" s="5"/>
    </row>
    <row r="5" spans="2:9" x14ac:dyDescent="0.35">
      <c r="B5" s="2" t="s">
        <v>0</v>
      </c>
      <c r="C5" s="6" t="s">
        <v>116</v>
      </c>
    </row>
    <row r="6" spans="2:9" x14ac:dyDescent="0.35">
      <c r="B6" s="2" t="s">
        <v>79</v>
      </c>
      <c r="C6" s="6" t="s">
        <v>117</v>
      </c>
    </row>
    <row r="7" spans="2:9" x14ac:dyDescent="0.35">
      <c r="B7" s="2" t="s">
        <v>9</v>
      </c>
      <c r="C7" s="6">
        <v>2024</v>
      </c>
    </row>
    <row r="8" spans="2:9" x14ac:dyDescent="0.35">
      <c r="B8" s="2" t="s">
        <v>1</v>
      </c>
      <c r="C8" s="6">
        <v>0</v>
      </c>
    </row>
    <row r="9" spans="2:9" ht="13.9" thickBot="1" x14ac:dyDescent="0.4">
      <c r="B9" s="1" t="s">
        <v>112</v>
      </c>
      <c r="C9" s="7" t="s">
        <v>114</v>
      </c>
      <c r="D9" s="1"/>
      <c r="E9" s="1"/>
      <c r="F9" s="1"/>
      <c r="G9" s="1"/>
      <c r="H9" s="1"/>
      <c r="I9" s="1"/>
    </row>
    <row r="10" spans="2:9" ht="14.25" thickBot="1" x14ac:dyDescent="0.45">
      <c r="B10" s="3" t="s">
        <v>5</v>
      </c>
      <c r="C10" s="3"/>
      <c r="D10" s="3"/>
      <c r="E10" s="3"/>
      <c r="F10" s="4"/>
      <c r="G10" s="1"/>
      <c r="H10" s="1" t="s">
        <v>7</v>
      </c>
      <c r="I10" s="1" t="s">
        <v>7</v>
      </c>
    </row>
    <row r="11" spans="2:9" x14ac:dyDescent="0.35">
      <c r="B11" s="8"/>
      <c r="C11" s="8"/>
      <c r="D11" s="9"/>
      <c r="E11" s="10"/>
      <c r="F11" s="10"/>
      <c r="G11" s="10"/>
      <c r="H11" s="10"/>
      <c r="I11" s="10"/>
    </row>
    <row r="12" spans="2:9" ht="13.9" x14ac:dyDescent="0.4">
      <c r="B12" s="8"/>
      <c r="C12" s="11"/>
      <c r="D12" s="12">
        <f>C7+1</f>
        <v>2025</v>
      </c>
      <c r="E12" s="12">
        <f>D12+1</f>
        <v>2026</v>
      </c>
      <c r="F12" s="12">
        <f>E12+1</f>
        <v>2027</v>
      </c>
      <c r="G12" s="12">
        <f>F12+1</f>
        <v>2028</v>
      </c>
      <c r="H12" s="12">
        <f>G12+1</f>
        <v>2029</v>
      </c>
      <c r="I12" s="12">
        <f>H12+1</f>
        <v>2030</v>
      </c>
    </row>
    <row r="13" spans="2:9" ht="13.9" x14ac:dyDescent="0.4">
      <c r="B13" s="13" t="s">
        <v>70</v>
      </c>
      <c r="C13" s="14"/>
    </row>
    <row r="14" spans="2:9" x14ac:dyDescent="0.35">
      <c r="B14" s="15" t="s">
        <v>118</v>
      </c>
      <c r="C14" s="15"/>
      <c r="D14" s="16">
        <v>0.01</v>
      </c>
      <c r="E14" s="16">
        <v>0.01</v>
      </c>
      <c r="F14" s="16">
        <v>0.01</v>
      </c>
      <c r="G14" s="16">
        <v>0.01</v>
      </c>
      <c r="H14" s="16">
        <v>0.01</v>
      </c>
      <c r="I14" s="16">
        <v>0.01</v>
      </c>
    </row>
    <row r="15" spans="2:9" x14ac:dyDescent="0.35">
      <c r="B15" s="15" t="s">
        <v>119</v>
      </c>
      <c r="C15" s="15"/>
      <c r="D15" s="16">
        <v>0.02</v>
      </c>
      <c r="E15" s="16">
        <v>0.02</v>
      </c>
      <c r="F15" s="16">
        <v>0.02</v>
      </c>
      <c r="G15" s="16">
        <v>0.02</v>
      </c>
      <c r="H15" s="16">
        <v>0.02</v>
      </c>
      <c r="I15" s="16">
        <v>0.02</v>
      </c>
    </row>
    <row r="16" spans="2:9" x14ac:dyDescent="0.35">
      <c r="B16" s="15"/>
      <c r="C16" s="15"/>
      <c r="D16" s="16"/>
      <c r="E16" s="16"/>
      <c r="F16" s="16"/>
      <c r="G16" s="16"/>
      <c r="H16" s="16"/>
      <c r="I16" s="16"/>
    </row>
    <row r="17" spans="2:11" ht="13.9" x14ac:dyDescent="0.4">
      <c r="B17" s="13" t="s">
        <v>45</v>
      </c>
      <c r="C17" s="15"/>
      <c r="D17" s="17"/>
      <c r="E17" s="16"/>
      <c r="F17" s="16"/>
      <c r="G17" s="16"/>
      <c r="H17" s="16"/>
      <c r="I17" s="16"/>
    </row>
    <row r="18" spans="2:11" x14ac:dyDescent="0.35">
      <c r="B18" s="8" t="s">
        <v>120</v>
      </c>
      <c r="C18" s="15"/>
      <c r="D18" s="16">
        <v>0.45</v>
      </c>
      <c r="E18" s="16">
        <v>0.45</v>
      </c>
      <c r="F18" s="16">
        <v>0.45</v>
      </c>
      <c r="G18" s="16">
        <v>0.45</v>
      </c>
      <c r="H18" s="16">
        <v>0.45</v>
      </c>
      <c r="I18" s="16">
        <v>0.45</v>
      </c>
    </row>
    <row r="19" spans="2:11" x14ac:dyDescent="0.35">
      <c r="B19" s="8" t="s">
        <v>126</v>
      </c>
      <c r="C19" s="8"/>
      <c r="D19" s="16">
        <v>0.32</v>
      </c>
      <c r="E19" s="16">
        <v>0.32</v>
      </c>
      <c r="F19" s="16">
        <v>0.32</v>
      </c>
      <c r="G19" s="16">
        <v>0.32</v>
      </c>
      <c r="H19" s="16">
        <v>0.32</v>
      </c>
      <c r="I19" s="16">
        <v>0.32</v>
      </c>
    </row>
    <row r="20" spans="2:11" x14ac:dyDescent="0.35">
      <c r="B20" s="8" t="s">
        <v>13</v>
      </c>
      <c r="C20" s="8"/>
      <c r="D20" s="338" t="s">
        <v>11</v>
      </c>
      <c r="E20" s="339"/>
      <c r="F20" s="339"/>
      <c r="G20" s="339"/>
      <c r="H20" s="339"/>
      <c r="I20" s="340"/>
      <c r="K20" s="18"/>
    </row>
    <row r="21" spans="2:11" ht="13.9" x14ac:dyDescent="0.35">
      <c r="B21" s="19" t="s">
        <v>122</v>
      </c>
      <c r="C21" s="20"/>
      <c r="D21" s="16"/>
      <c r="E21" s="16"/>
      <c r="F21" s="16"/>
      <c r="G21" s="16"/>
      <c r="H21" s="16"/>
      <c r="I21" s="16"/>
      <c r="K21" s="18"/>
    </row>
    <row r="22" spans="2:11" x14ac:dyDescent="0.35">
      <c r="B22" s="21" t="s">
        <v>123</v>
      </c>
      <c r="C22" s="22"/>
      <c r="D22" s="23">
        <v>-4.0000000000000002E-4</v>
      </c>
      <c r="E22" s="23">
        <v>-4.0000000000000002E-4</v>
      </c>
      <c r="F22" s="23">
        <v>-4.0000000000000002E-4</v>
      </c>
      <c r="G22" s="23">
        <v>-4.0000000000000002E-4</v>
      </c>
      <c r="H22" s="23">
        <v>-4.0000000000000002E-4</v>
      </c>
      <c r="I22" s="23">
        <v>-4.0000000000000002E-4</v>
      </c>
      <c r="K22" s="18"/>
    </row>
    <row r="23" spans="2:11" x14ac:dyDescent="0.35">
      <c r="B23" s="21" t="s">
        <v>81</v>
      </c>
      <c r="C23" s="22"/>
      <c r="D23" s="338" t="s">
        <v>12</v>
      </c>
      <c r="E23" s="339"/>
      <c r="F23" s="339"/>
      <c r="G23" s="339"/>
      <c r="H23" s="339"/>
      <c r="I23" s="340"/>
      <c r="K23" s="18"/>
    </row>
    <row r="24" spans="2:11" x14ac:dyDescent="0.35">
      <c r="B24" s="21" t="s">
        <v>8</v>
      </c>
      <c r="C24" s="22"/>
      <c r="D24" s="338" t="s">
        <v>12</v>
      </c>
      <c r="E24" s="339"/>
      <c r="F24" s="339"/>
      <c r="G24" s="339"/>
      <c r="H24" s="339"/>
      <c r="I24" s="340"/>
      <c r="K24" s="18"/>
    </row>
    <row r="25" spans="2:11" ht="15.75" customHeight="1" x14ac:dyDescent="0.35">
      <c r="B25" s="21" t="s">
        <v>124</v>
      </c>
      <c r="C25" s="22"/>
      <c r="D25" s="24">
        <v>2.0000000000000001E-4</v>
      </c>
      <c r="E25" s="24">
        <v>2.0000000000000001E-4</v>
      </c>
      <c r="F25" s="24">
        <v>2.0000000000000001E-4</v>
      </c>
      <c r="G25" s="24">
        <v>2.0000000000000001E-4</v>
      </c>
      <c r="H25" s="24">
        <v>2.0000000000000001E-4</v>
      </c>
      <c r="I25" s="24">
        <v>2.0000000000000001E-4</v>
      </c>
      <c r="K25" s="18"/>
    </row>
    <row r="26" spans="2:11" x14ac:dyDescent="0.35">
      <c r="B26" s="21" t="s">
        <v>6</v>
      </c>
      <c r="C26" s="25"/>
      <c r="D26" s="16">
        <v>0.21</v>
      </c>
      <c r="E26" s="16">
        <v>0.21</v>
      </c>
      <c r="F26" s="16">
        <v>0.21</v>
      </c>
      <c r="G26" s="16">
        <v>0.21</v>
      </c>
      <c r="H26" s="16">
        <v>0.21</v>
      </c>
      <c r="I26" s="16">
        <v>0.21</v>
      </c>
      <c r="K26" s="18"/>
    </row>
    <row r="27" spans="2:11" ht="15" customHeight="1" x14ac:dyDescent="0.35">
      <c r="B27" s="21" t="s">
        <v>84</v>
      </c>
      <c r="C27" s="26"/>
      <c r="D27" s="27">
        <v>60500</v>
      </c>
      <c r="E27" s="27">
        <v>60500</v>
      </c>
      <c r="F27" s="27">
        <v>60500</v>
      </c>
      <c r="G27" s="27">
        <v>60500</v>
      </c>
      <c r="H27" s="27">
        <v>60500</v>
      </c>
      <c r="I27" s="27">
        <v>60500</v>
      </c>
    </row>
    <row r="28" spans="2:11" ht="15" customHeight="1" x14ac:dyDescent="0.35"/>
    <row r="29" spans="2:11" ht="13.9" thickBot="1" x14ac:dyDescent="0.4">
      <c r="B29" s="28"/>
      <c r="C29" s="28"/>
      <c r="D29" s="1"/>
      <c r="E29" s="1"/>
      <c r="F29" s="1"/>
      <c r="G29" s="1"/>
      <c r="H29" s="1"/>
      <c r="I29" s="1"/>
    </row>
    <row r="30" spans="2:11" ht="14.25" thickBot="1" x14ac:dyDescent="0.45">
      <c r="B30" s="3" t="s">
        <v>14</v>
      </c>
      <c r="C30" s="3"/>
      <c r="D30" s="3"/>
      <c r="E30" s="3"/>
      <c r="F30" s="4"/>
      <c r="G30" s="1"/>
      <c r="H30" s="1"/>
      <c r="I30" s="1"/>
    </row>
    <row r="31" spans="2:11" x14ac:dyDescent="0.35">
      <c r="B31" s="14"/>
      <c r="C31" s="14"/>
    </row>
    <row r="32" spans="2:11" ht="13.9" x14ac:dyDescent="0.4">
      <c r="B32" s="8"/>
      <c r="C32" s="8"/>
      <c r="D32" s="29">
        <f t="shared" ref="D32:I32" si="0">D12</f>
        <v>2025</v>
      </c>
      <c r="E32" s="29">
        <f t="shared" si="0"/>
        <v>2026</v>
      </c>
      <c r="F32" s="29">
        <f t="shared" si="0"/>
        <v>2027</v>
      </c>
      <c r="G32" s="29">
        <f t="shared" si="0"/>
        <v>2028</v>
      </c>
      <c r="H32" s="29">
        <f t="shared" si="0"/>
        <v>2029</v>
      </c>
      <c r="I32" s="29">
        <f t="shared" si="0"/>
        <v>2030</v>
      </c>
    </row>
    <row r="33" spans="2:10" ht="13.9" x14ac:dyDescent="0.4">
      <c r="C33" s="30"/>
      <c r="D33" s="31"/>
      <c r="E33" s="31"/>
      <c r="F33" s="31"/>
      <c r="G33" s="31"/>
      <c r="H33" s="31"/>
      <c r="I33" s="31"/>
    </row>
    <row r="34" spans="2:10" ht="13.9" x14ac:dyDescent="0.4">
      <c r="B34" s="30" t="s">
        <v>15</v>
      </c>
      <c r="C34" s="32"/>
      <c r="D34" s="31"/>
      <c r="E34" s="31"/>
      <c r="F34" s="31"/>
      <c r="G34" s="31"/>
    </row>
    <row r="35" spans="2:10" x14ac:dyDescent="0.35">
      <c r="B35" s="8" t="s">
        <v>16</v>
      </c>
      <c r="C35" s="33"/>
      <c r="D35" s="338" t="s">
        <v>17</v>
      </c>
      <c r="E35" s="339"/>
      <c r="F35" s="339"/>
      <c r="G35" s="339"/>
      <c r="H35" s="339"/>
      <c r="I35" s="340"/>
    </row>
    <row r="36" spans="2:10" x14ac:dyDescent="0.35">
      <c r="B36" s="8" t="s">
        <v>91</v>
      </c>
      <c r="C36" s="33"/>
      <c r="D36" s="341" t="s">
        <v>18</v>
      </c>
      <c r="E36" s="330"/>
      <c r="F36" s="330"/>
      <c r="G36" s="330"/>
      <c r="H36" s="330"/>
      <c r="I36" s="331"/>
    </row>
    <row r="37" spans="2:10" x14ac:dyDescent="0.35">
      <c r="B37" s="8" t="s">
        <v>19</v>
      </c>
      <c r="C37" s="33"/>
      <c r="D37" s="332"/>
      <c r="E37" s="333"/>
      <c r="F37" s="333"/>
      <c r="G37" s="333"/>
      <c r="H37" s="333"/>
      <c r="I37" s="334"/>
    </row>
    <row r="38" spans="2:10" x14ac:dyDescent="0.35">
      <c r="B38" s="34" t="s">
        <v>128</v>
      </c>
      <c r="C38" s="33"/>
      <c r="D38" s="332"/>
      <c r="E38" s="333"/>
      <c r="F38" s="333"/>
      <c r="G38" s="333"/>
      <c r="H38" s="333"/>
      <c r="I38" s="334"/>
    </row>
    <row r="39" spans="2:10" x14ac:dyDescent="0.35">
      <c r="B39" s="34" t="s">
        <v>127</v>
      </c>
      <c r="C39" s="33"/>
      <c r="D39" s="335"/>
      <c r="E39" s="336"/>
      <c r="F39" s="336"/>
      <c r="G39" s="336"/>
      <c r="H39" s="336"/>
      <c r="I39" s="337"/>
    </row>
    <row r="40" spans="2:10" x14ac:dyDescent="0.35">
      <c r="B40" s="34" t="s">
        <v>130</v>
      </c>
      <c r="C40" s="35"/>
      <c r="D40" s="36"/>
      <c r="E40" s="36"/>
      <c r="F40" s="36"/>
      <c r="G40" s="36"/>
      <c r="H40" s="36"/>
      <c r="I40" s="36"/>
    </row>
    <row r="41" spans="2:10" x14ac:dyDescent="0.35">
      <c r="B41" s="37" t="s">
        <v>131</v>
      </c>
      <c r="C41" s="35"/>
      <c r="D41" s="36"/>
      <c r="E41" s="36"/>
      <c r="F41" s="36"/>
      <c r="G41" s="36"/>
      <c r="H41" s="36"/>
      <c r="I41" s="36"/>
    </row>
    <row r="42" spans="2:10" x14ac:dyDescent="0.35">
      <c r="B42" s="34" t="s">
        <v>132</v>
      </c>
      <c r="C42" s="35"/>
      <c r="D42" s="36"/>
      <c r="E42" s="36"/>
      <c r="F42" s="36"/>
      <c r="G42" s="36"/>
      <c r="H42" s="36"/>
      <c r="I42" s="36"/>
      <c r="J42" s="18"/>
    </row>
    <row r="43" spans="2:10" x14ac:dyDescent="0.35">
      <c r="B43" s="8" t="s">
        <v>22</v>
      </c>
      <c r="C43" s="8"/>
      <c r="D43" s="326" t="s">
        <v>11</v>
      </c>
      <c r="E43" s="327"/>
      <c r="F43" s="327"/>
      <c r="G43" s="327"/>
      <c r="H43" s="327"/>
      <c r="I43" s="328"/>
      <c r="J43" s="18"/>
    </row>
    <row r="44" spans="2:10" x14ac:dyDescent="0.35">
      <c r="B44" s="8" t="s">
        <v>129</v>
      </c>
      <c r="C44" s="8"/>
      <c r="D44" s="38">
        <v>0.5</v>
      </c>
      <c r="E44" s="38">
        <v>0.5</v>
      </c>
      <c r="F44" s="38">
        <v>0.5</v>
      </c>
      <c r="G44" s="38">
        <v>0.5</v>
      </c>
      <c r="H44" s="38">
        <v>0.5</v>
      </c>
      <c r="I44" s="38">
        <v>0.5</v>
      </c>
      <c r="J44" s="18"/>
    </row>
    <row r="45" spans="2:10" x14ac:dyDescent="0.35">
      <c r="B45" s="8" t="s">
        <v>140</v>
      </c>
      <c r="C45" s="8"/>
      <c r="D45" s="39">
        <v>0.4</v>
      </c>
      <c r="E45" s="39">
        <v>0.4</v>
      </c>
      <c r="F45" s="39">
        <v>0.4</v>
      </c>
      <c r="G45" s="39">
        <v>0.4</v>
      </c>
      <c r="H45" s="39">
        <v>0.4</v>
      </c>
      <c r="I45" s="39">
        <v>0.4</v>
      </c>
      <c r="J45" s="18"/>
    </row>
    <row r="46" spans="2:10" x14ac:dyDescent="0.35">
      <c r="B46" s="8"/>
      <c r="C46" s="8"/>
      <c r="D46" s="40"/>
      <c r="E46" s="41"/>
      <c r="F46" s="41"/>
      <c r="G46" s="41"/>
      <c r="H46" s="41"/>
      <c r="I46" s="41"/>
      <c r="J46" s="18"/>
    </row>
    <row r="47" spans="2:10" ht="13.9" x14ac:dyDescent="0.4">
      <c r="B47" s="42" t="s">
        <v>23</v>
      </c>
      <c r="C47" s="42"/>
      <c r="D47" s="43"/>
      <c r="E47" s="44"/>
      <c r="F47" s="44"/>
      <c r="G47" s="44"/>
      <c r="H47" s="44"/>
      <c r="I47" s="44"/>
      <c r="J47" s="18"/>
    </row>
    <row r="48" spans="2:10" x14ac:dyDescent="0.35">
      <c r="B48" s="14" t="s">
        <v>24</v>
      </c>
      <c r="C48" s="14"/>
      <c r="D48" s="329" t="s">
        <v>145</v>
      </c>
      <c r="E48" s="330"/>
      <c r="F48" s="330"/>
      <c r="G48" s="330"/>
      <c r="H48" s="330"/>
      <c r="I48" s="331"/>
      <c r="J48" s="18"/>
    </row>
    <row r="49" spans="2:10" x14ac:dyDescent="0.35">
      <c r="B49" s="8" t="s">
        <v>25</v>
      </c>
      <c r="C49" s="8"/>
      <c r="D49" s="332" t="s">
        <v>26</v>
      </c>
      <c r="E49" s="333"/>
      <c r="F49" s="333"/>
      <c r="G49" s="333"/>
      <c r="H49" s="333"/>
      <c r="I49" s="334"/>
      <c r="J49" s="18"/>
    </row>
    <row r="50" spans="2:10" x14ac:dyDescent="0.35">
      <c r="B50" s="45" t="s">
        <v>72</v>
      </c>
      <c r="C50" s="8"/>
      <c r="D50" s="332"/>
      <c r="E50" s="333"/>
      <c r="F50" s="333"/>
      <c r="G50" s="333"/>
      <c r="H50" s="333"/>
      <c r="I50" s="334"/>
      <c r="J50" s="18"/>
    </row>
    <row r="51" spans="2:10" x14ac:dyDescent="0.35">
      <c r="B51" s="8" t="s">
        <v>83</v>
      </c>
      <c r="C51" s="8"/>
      <c r="D51" s="335"/>
      <c r="E51" s="336"/>
      <c r="F51" s="336"/>
      <c r="G51" s="336"/>
      <c r="H51" s="336"/>
      <c r="I51" s="337"/>
      <c r="J51" s="18"/>
    </row>
    <row r="52" spans="2:10" x14ac:dyDescent="0.35">
      <c r="B52" s="8" t="s">
        <v>134</v>
      </c>
      <c r="C52" s="8"/>
      <c r="D52" s="46">
        <v>23000</v>
      </c>
      <c r="E52" s="46">
        <v>23000</v>
      </c>
      <c r="F52" s="46">
        <v>23000</v>
      </c>
      <c r="G52" s="46">
        <v>23000</v>
      </c>
      <c r="H52" s="46">
        <v>23000</v>
      </c>
      <c r="I52" s="46">
        <v>23000</v>
      </c>
      <c r="J52" s="18"/>
    </row>
    <row r="53" spans="2:10" x14ac:dyDescent="0.35">
      <c r="D53" s="47"/>
      <c r="E53" s="47"/>
      <c r="F53" s="47"/>
      <c r="G53" s="47"/>
      <c r="H53" s="47"/>
      <c r="I53" s="47"/>
      <c r="J53" s="18"/>
    </row>
    <row r="54" spans="2:10" x14ac:dyDescent="0.35">
      <c r="B54" s="35" t="s">
        <v>27</v>
      </c>
      <c r="C54" s="35"/>
      <c r="D54" s="40"/>
      <c r="E54" s="40"/>
      <c r="F54" s="40"/>
      <c r="G54" s="40"/>
      <c r="H54" s="40"/>
      <c r="I54" s="40"/>
      <c r="J54" s="18"/>
    </row>
    <row r="55" spans="2:10" x14ac:dyDescent="0.35">
      <c r="B55" s="8" t="s">
        <v>133</v>
      </c>
      <c r="C55" s="8"/>
      <c r="D55" s="40">
        <v>5.0000000000000001E-3</v>
      </c>
      <c r="E55" s="40">
        <v>5.0000000000000001E-3</v>
      </c>
      <c r="F55" s="40">
        <v>5.0000000000000001E-3</v>
      </c>
      <c r="G55" s="40">
        <v>5.0000000000000001E-3</v>
      </c>
      <c r="H55" s="40">
        <v>5.0000000000000001E-3</v>
      </c>
      <c r="I55" s="40">
        <v>5.0000000000000001E-3</v>
      </c>
      <c r="J55" s="18"/>
    </row>
    <row r="56" spans="2:10" x14ac:dyDescent="0.35">
      <c r="B56" s="8" t="s">
        <v>74</v>
      </c>
      <c r="C56" s="8"/>
      <c r="D56" s="48">
        <v>0.15</v>
      </c>
      <c r="E56" s="48">
        <v>0.15</v>
      </c>
      <c r="F56" s="48">
        <v>0.15</v>
      </c>
      <c r="G56" s="48">
        <v>0.15</v>
      </c>
      <c r="H56" s="48">
        <v>0.15</v>
      </c>
      <c r="I56" s="48">
        <v>0.15</v>
      </c>
      <c r="J56" s="18"/>
    </row>
    <row r="57" spans="2:10" x14ac:dyDescent="0.35">
      <c r="B57" s="8" t="s">
        <v>142</v>
      </c>
      <c r="C57" s="8"/>
      <c r="D57" s="48">
        <v>0.14000000000000001</v>
      </c>
      <c r="E57" s="48">
        <v>0.14000000000000001</v>
      </c>
      <c r="F57" s="48">
        <v>0.14000000000000001</v>
      </c>
      <c r="G57" s="48">
        <v>0.14000000000000001</v>
      </c>
      <c r="H57" s="48">
        <v>0.14000000000000001</v>
      </c>
      <c r="I57" s="48">
        <v>0.14000000000000001</v>
      </c>
      <c r="J57" s="18"/>
    </row>
    <row r="58" spans="2:10" x14ac:dyDescent="0.35">
      <c r="B58" s="8" t="s">
        <v>143</v>
      </c>
      <c r="C58" s="8"/>
      <c r="D58" s="40">
        <v>4.0000000000000001E-3</v>
      </c>
      <c r="E58" s="40">
        <v>4.0000000000000001E-3</v>
      </c>
      <c r="F58" s="40">
        <v>4.0000000000000001E-3</v>
      </c>
      <c r="G58" s="40">
        <v>4.0000000000000001E-3</v>
      </c>
      <c r="H58" s="40">
        <v>4.0000000000000001E-3</v>
      </c>
      <c r="I58" s="40">
        <v>4.0000000000000001E-3</v>
      </c>
      <c r="J58" s="18"/>
    </row>
    <row r="59" spans="2:10" x14ac:dyDescent="0.35">
      <c r="B59" s="8" t="s">
        <v>28</v>
      </c>
      <c r="C59" s="49"/>
      <c r="D59" s="50">
        <v>0.06</v>
      </c>
      <c r="E59" s="50">
        <v>0.06</v>
      </c>
      <c r="F59" s="50">
        <v>0.06</v>
      </c>
      <c r="G59" s="50">
        <v>0.06</v>
      </c>
      <c r="H59" s="50">
        <v>0.06</v>
      </c>
      <c r="I59" s="50">
        <v>0.06</v>
      </c>
      <c r="J59" s="18"/>
    </row>
    <row r="60" spans="2:10" x14ac:dyDescent="0.35">
      <c r="B60" s="35"/>
      <c r="C60" s="35"/>
      <c r="D60" s="40"/>
      <c r="E60" s="40"/>
      <c r="F60" s="40"/>
      <c r="G60" s="40"/>
      <c r="H60" s="40"/>
      <c r="I60" s="40"/>
      <c r="J60" s="18"/>
    </row>
    <row r="61" spans="2:10" ht="13.9" x14ac:dyDescent="0.4">
      <c r="B61" s="13" t="s">
        <v>29</v>
      </c>
      <c r="C61" s="13"/>
      <c r="D61" s="40"/>
      <c r="E61" s="40"/>
      <c r="F61" s="40"/>
      <c r="G61" s="40"/>
      <c r="H61" s="40"/>
      <c r="I61" s="40"/>
      <c r="J61" s="18"/>
    </row>
    <row r="62" spans="2:10" x14ac:dyDescent="0.35">
      <c r="B62" s="14" t="s">
        <v>115</v>
      </c>
      <c r="C62" s="14"/>
      <c r="D62" s="40">
        <v>0</v>
      </c>
      <c r="E62" s="40">
        <v>0</v>
      </c>
      <c r="F62" s="40">
        <v>0</v>
      </c>
      <c r="G62" s="40">
        <v>0</v>
      </c>
      <c r="H62" s="40">
        <v>0</v>
      </c>
      <c r="I62" s="40">
        <v>0</v>
      </c>
      <c r="J62" s="18"/>
    </row>
    <row r="63" spans="2:10" x14ac:dyDescent="0.35">
      <c r="B63" s="14" t="s">
        <v>30</v>
      </c>
      <c r="C63" s="14"/>
      <c r="D63" s="266">
        <v>0</v>
      </c>
      <c r="E63" s="266">
        <v>0</v>
      </c>
      <c r="F63" s="266">
        <v>0</v>
      </c>
      <c r="G63" s="266">
        <v>0</v>
      </c>
      <c r="H63" s="266">
        <v>0</v>
      </c>
      <c r="I63" s="266">
        <v>0</v>
      </c>
      <c r="J63" s="18"/>
    </row>
    <row r="64" spans="2:10" x14ac:dyDescent="0.35">
      <c r="B64" s="14" t="s">
        <v>31</v>
      </c>
      <c r="C64" s="8"/>
      <c r="D64" s="16">
        <v>1.4999999999999999E-2</v>
      </c>
      <c r="E64" s="16">
        <v>1.4999999999999999E-2</v>
      </c>
      <c r="F64" s="16">
        <v>1.4999999999999999E-2</v>
      </c>
      <c r="G64" s="16">
        <v>1.4999999999999999E-2</v>
      </c>
      <c r="H64" s="16">
        <v>1.4999999999999999E-2</v>
      </c>
      <c r="I64" s="16">
        <v>1.4999999999999999E-2</v>
      </c>
      <c r="J64" s="18"/>
    </row>
    <row r="65" spans="10:10" x14ac:dyDescent="0.35">
      <c r="J65" s="18"/>
    </row>
    <row r="66" spans="10:10" x14ac:dyDescent="0.35">
      <c r="J66" s="18"/>
    </row>
    <row r="67" spans="10:10" x14ac:dyDescent="0.35">
      <c r="J67" s="18"/>
    </row>
    <row r="68" spans="10:10" x14ac:dyDescent="0.35">
      <c r="J68" s="18"/>
    </row>
  </sheetData>
  <mergeCells count="7">
    <mergeCell ref="D43:I43"/>
    <mergeCell ref="D48:I51"/>
    <mergeCell ref="D20:I20"/>
    <mergeCell ref="D23:I23"/>
    <mergeCell ref="D24:I24"/>
    <mergeCell ref="D35:I35"/>
    <mergeCell ref="D36:I39"/>
  </mergeCells>
  <phoneticPr fontId="10" type="noConversion"/>
  <dataValidations count="1">
    <dataValidation type="list" allowBlank="1" showInputMessage="1" showErrorMessage="1" sqref="C9" xr:uid="{E5DE518A-E4DB-4BD4-8E29-BFA1A73872B2}">
      <formula1>"On, Off"</formula1>
    </dataValidation>
  </dataValidations>
  <pageMargins left="0.75" right="0.75" top="1" bottom="1" header="0.5" footer="0.5"/>
  <pageSetup scale="71" orientation="portrait" horizontalDpi="4294967292" r:id="rId1"/>
  <headerFooter alignWithMargins="0">
    <oddHeader>&amp;C&amp;F
Page 1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877A9-C5B3-4E49-A40B-C3887B6B07EB}">
  <dimension ref="B1:K57"/>
  <sheetViews>
    <sheetView showGridLines="0" zoomScale="70" zoomScaleNormal="70" workbookViewId="0">
      <selection activeCell="D30" sqref="D30"/>
    </sheetView>
  </sheetViews>
  <sheetFormatPr defaultColWidth="9.06640625" defaultRowHeight="13.5" x14ac:dyDescent="0.35"/>
  <cols>
    <col min="1" max="1" width="2" style="53" customWidth="1"/>
    <col min="2" max="2" width="55.59765625" style="53" customWidth="1"/>
    <col min="3" max="3" width="13.33203125" style="53" customWidth="1"/>
    <col min="4" max="4" width="61.33203125" style="53" customWidth="1"/>
    <col min="5" max="7" width="13.33203125" style="53" customWidth="1"/>
    <col min="8" max="8" width="23.06640625" style="53" customWidth="1"/>
    <col min="9" max="9" width="14.06640625" style="53" customWidth="1"/>
    <col min="10" max="16384" width="9.06640625" style="53"/>
  </cols>
  <sheetData>
    <row r="1" spans="2:11" ht="13.9" x14ac:dyDescent="0.4">
      <c r="B1" s="51" t="s">
        <v>217</v>
      </c>
      <c r="C1" s="52"/>
      <c r="D1" s="52"/>
      <c r="E1" s="52"/>
      <c r="F1" s="52"/>
      <c r="G1" s="52"/>
      <c r="H1" s="52"/>
      <c r="I1" s="52"/>
      <c r="J1" s="52"/>
      <c r="K1" s="52"/>
    </row>
    <row r="6" spans="2:11" ht="13.9" x14ac:dyDescent="0.4">
      <c r="B6" s="54" t="s">
        <v>146</v>
      </c>
      <c r="C6" s="287"/>
      <c r="D6" s="55"/>
      <c r="E6" s="55"/>
      <c r="F6" s="54" t="s">
        <v>147</v>
      </c>
      <c r="G6" s="55"/>
      <c r="H6" s="55"/>
      <c r="I6" s="55"/>
    </row>
    <row r="7" spans="2:11" ht="13.9" x14ac:dyDescent="0.4">
      <c r="H7" s="288" t="s">
        <v>148</v>
      </c>
    </row>
    <row r="8" spans="2:11" ht="13.9" x14ac:dyDescent="0.4">
      <c r="B8" s="53" t="s">
        <v>149</v>
      </c>
      <c r="C8" s="289">
        <v>46022</v>
      </c>
      <c r="H8" s="290"/>
    </row>
    <row r="9" spans="2:11" x14ac:dyDescent="0.35">
      <c r="B9" s="53" t="s">
        <v>150</v>
      </c>
      <c r="C9" s="289">
        <v>47483</v>
      </c>
      <c r="F9" s="53" t="s">
        <v>151</v>
      </c>
      <c r="H9" s="291">
        <f>C12</f>
        <v>957607.29539999983</v>
      </c>
      <c r="I9" s="53" t="str">
        <f ca="1">_xlfn.FORMULATEXT(H9)</f>
        <v>=C12</v>
      </c>
    </row>
    <row r="10" spans="2:11" x14ac:dyDescent="0.35">
      <c r="B10" s="53" t="s">
        <v>152</v>
      </c>
      <c r="C10" s="292">
        <v>59382</v>
      </c>
      <c r="D10" s="56"/>
      <c r="F10" s="53" t="s">
        <v>153</v>
      </c>
      <c r="H10" s="293">
        <f>H11/H9</f>
        <v>6.9631530773381183</v>
      </c>
      <c r="I10" s="53" t="str">
        <f t="shared" ref="I10:I16" ca="1" si="0">_xlfn.FORMULATEXT(H10)</f>
        <v>=H11/H9</v>
      </c>
    </row>
    <row r="11" spans="2:11" ht="13.9" x14ac:dyDescent="0.4">
      <c r="B11" s="53" t="s">
        <v>154</v>
      </c>
      <c r="C11" s="294">
        <v>1</v>
      </c>
      <c r="D11" s="56"/>
      <c r="F11" s="57" t="s">
        <v>155</v>
      </c>
      <c r="H11" s="291">
        <f>H13+H15</f>
        <v>6667966.1858459413</v>
      </c>
      <c r="I11" s="53" t="str">
        <f t="shared" ca="1" si="0"/>
        <v>=H13+H15</v>
      </c>
    </row>
    <row r="12" spans="2:11" x14ac:dyDescent="0.35">
      <c r="B12" s="53" t="s">
        <v>151</v>
      </c>
      <c r="C12" s="295">
        <f>'Income Statement '!F18-'Income Statement '!F15</f>
        <v>957607.29539999983</v>
      </c>
      <c r="D12" s="317" t="str">
        <f ca="1">_xlfn.FORMULATEXT(C12)</f>
        <v>='Income Statement '!F18-'Income Statement '!F15</v>
      </c>
      <c r="H12" s="291"/>
    </row>
    <row r="13" spans="2:11" x14ac:dyDescent="0.35">
      <c r="B13" s="53" t="s">
        <v>156</v>
      </c>
      <c r="C13" s="295">
        <f>'Balance Sheet '!F23+'Balance Sheet '!F28+'Balance Sheet '!F29</f>
        <v>1123938.1499999999</v>
      </c>
      <c r="D13" s="317" t="str">
        <f t="shared" ref="D13:D14" ca="1" si="1">_xlfn.FORMULATEXT(C13)</f>
        <v>='Balance Sheet '!F23+'Balance Sheet '!F28+'Balance Sheet '!F29</v>
      </c>
      <c r="F13" s="53" t="s">
        <v>157</v>
      </c>
      <c r="H13" s="291">
        <f>C13-C14</f>
        <v>611714.7698459418</v>
      </c>
      <c r="I13" s="53" t="str">
        <f t="shared" ca="1" si="0"/>
        <v>=C13-C14</v>
      </c>
    </row>
    <row r="14" spans="2:11" x14ac:dyDescent="0.35">
      <c r="B14" s="53" t="s">
        <v>158</v>
      </c>
      <c r="C14" s="295">
        <f>'Balance Sheet '!F8</f>
        <v>512223.3801540581</v>
      </c>
      <c r="D14" s="317" t="str">
        <f t="shared" ca="1" si="1"/>
        <v>='Balance Sheet '!F8</v>
      </c>
    </row>
    <row r="15" spans="2:11" ht="13.9" x14ac:dyDescent="0.4">
      <c r="C15" s="296"/>
      <c r="F15" s="57" t="s">
        <v>159</v>
      </c>
      <c r="H15" s="291">
        <f>H20*H16</f>
        <v>6056251.4159999993</v>
      </c>
      <c r="I15" s="53" t="str">
        <f t="shared" ca="1" si="0"/>
        <v>=H20*H16</v>
      </c>
    </row>
    <row r="16" spans="2:11" x14ac:dyDescent="0.35">
      <c r="B16" s="53" t="s">
        <v>160</v>
      </c>
      <c r="C16" s="297">
        <v>4</v>
      </c>
      <c r="D16" s="56"/>
      <c r="E16" s="298"/>
      <c r="F16" s="53" t="s">
        <v>161</v>
      </c>
      <c r="H16" s="291">
        <f>C10</f>
        <v>59382</v>
      </c>
      <c r="I16" s="53" t="str">
        <f t="shared" ca="1" si="0"/>
        <v>=C10</v>
      </c>
    </row>
    <row r="17" spans="2:11" x14ac:dyDescent="0.35">
      <c r="B17" s="53" t="s">
        <v>162</v>
      </c>
      <c r="C17" s="293">
        <f>H10</f>
        <v>6.9631530773381183</v>
      </c>
      <c r="D17" s="317" t="str">
        <f t="shared" ref="D17" ca="1" si="2">_xlfn.FORMULATEXT(C17)</f>
        <v>=H10</v>
      </c>
    </row>
    <row r="18" spans="2:11" x14ac:dyDescent="0.35">
      <c r="F18" s="2" t="s">
        <v>187</v>
      </c>
      <c r="G18" s="59"/>
      <c r="H18" s="299">
        <v>84.99</v>
      </c>
      <c r="I18" s="59"/>
    </row>
    <row r="19" spans="2:11" x14ac:dyDescent="0.35">
      <c r="B19" s="257" t="s">
        <v>163</v>
      </c>
      <c r="C19" s="316">
        <v>5.0000000000000001E-3</v>
      </c>
      <c r="F19" s="300" t="s">
        <v>188</v>
      </c>
      <c r="G19" s="59"/>
      <c r="H19" s="301">
        <v>45931</v>
      </c>
      <c r="I19" s="60"/>
    </row>
    <row r="20" spans="2:11" ht="13.9" x14ac:dyDescent="0.4">
      <c r="B20" s="257" t="s">
        <v>164</v>
      </c>
      <c r="C20" s="302">
        <f>C19*H15</f>
        <v>30281.257079999996</v>
      </c>
      <c r="D20" s="317" t="str">
        <f t="shared" ref="D20" ca="1" si="3">_xlfn.FORMULATEXT(C20)</f>
        <v>=C19*H15</v>
      </c>
      <c r="F20" s="303" t="s">
        <v>189</v>
      </c>
      <c r="G20" s="59"/>
      <c r="H20" s="304">
        <f>H18*(1+0.2)</f>
        <v>101.98799999999999</v>
      </c>
      <c r="I20" s="317" t="str">
        <f t="shared" ref="I20" ca="1" si="4">_xlfn.FORMULATEXT(H20)</f>
        <v>=H18*(1+0.2)</v>
      </c>
    </row>
    <row r="21" spans="2:11" ht="13.9" x14ac:dyDescent="0.4">
      <c r="B21" s="257"/>
      <c r="F21" s="57"/>
      <c r="H21" s="305"/>
      <c r="I21" s="56"/>
    </row>
    <row r="22" spans="2:11" ht="13.9" x14ac:dyDescent="0.4">
      <c r="B22" s="257" t="s">
        <v>165</v>
      </c>
      <c r="C22" s="53">
        <v>5</v>
      </c>
      <c r="F22" s="57"/>
      <c r="H22" s="305"/>
      <c r="I22" s="56"/>
    </row>
    <row r="23" spans="2:11" ht="13.9" x14ac:dyDescent="0.4">
      <c r="B23" s="257" t="s">
        <v>166</v>
      </c>
      <c r="C23" s="316">
        <v>5.0000000000000001E-3</v>
      </c>
      <c r="F23" s="57"/>
      <c r="H23" s="305"/>
      <c r="I23" s="56"/>
    </row>
    <row r="24" spans="2:11" ht="13.9" x14ac:dyDescent="0.4">
      <c r="B24" s="257" t="s">
        <v>167</v>
      </c>
      <c r="C24" s="302">
        <f>C23*C38</f>
        <v>19152.145907999999</v>
      </c>
      <c r="D24" s="317" t="str">
        <f t="shared" ref="D24:D25" ca="1" si="5">_xlfn.FORMULATEXT(C24)</f>
        <v>=C23*C38</v>
      </c>
      <c r="F24" s="57"/>
      <c r="H24" s="305"/>
      <c r="I24" s="56"/>
    </row>
    <row r="25" spans="2:11" ht="13.9" x14ac:dyDescent="0.4">
      <c r="B25" s="257" t="s">
        <v>168</v>
      </c>
      <c r="C25" s="302">
        <f>C24/C22</f>
        <v>3830.4291815999995</v>
      </c>
      <c r="D25" s="317" t="str">
        <f t="shared" ca="1" si="5"/>
        <v>=C24/C22</v>
      </c>
      <c r="F25" s="57"/>
      <c r="H25" s="305"/>
      <c r="I25" s="56"/>
    </row>
    <row r="26" spans="2:11" ht="13.9" x14ac:dyDescent="0.4">
      <c r="F26" s="57"/>
      <c r="H26" s="305"/>
      <c r="I26" s="56"/>
    </row>
    <row r="27" spans="2:11" ht="13.9" x14ac:dyDescent="0.4">
      <c r="B27" s="54" t="s">
        <v>169</v>
      </c>
      <c r="C27" s="55"/>
      <c r="D27" s="55"/>
      <c r="E27" s="55"/>
    </row>
    <row r="28" spans="2:11" ht="13.9" x14ac:dyDescent="0.4">
      <c r="B28" s="61"/>
      <c r="I28" s="62"/>
    </row>
    <row r="29" spans="2:11" x14ac:dyDescent="0.35">
      <c r="B29" s="257" t="s">
        <v>164</v>
      </c>
      <c r="C29" s="302">
        <f>C20</f>
        <v>30281.257079999996</v>
      </c>
      <c r="D29" s="317" t="str">
        <f t="shared" ref="D29:D30" ca="1" si="6">_xlfn.FORMULATEXT(C29)</f>
        <v>=C20</v>
      </c>
      <c r="I29" s="62"/>
    </row>
    <row r="30" spans="2:11" x14ac:dyDescent="0.35">
      <c r="B30" s="257" t="s">
        <v>167</v>
      </c>
      <c r="C30" s="302">
        <f>C24</f>
        <v>19152.145907999999</v>
      </c>
      <c r="D30" s="317" t="str">
        <f t="shared" ca="1" si="6"/>
        <v>=C24</v>
      </c>
      <c r="I30" s="62"/>
    </row>
    <row r="31" spans="2:11" ht="13.9" x14ac:dyDescent="0.4">
      <c r="B31" s="53" t="s">
        <v>170</v>
      </c>
      <c r="C31" s="306">
        <f>H15</f>
        <v>6056251.4159999993</v>
      </c>
      <c r="D31" s="53" t="str">
        <f ca="1">_xlfn.FORMULATEXT(C31)</f>
        <v>=H15</v>
      </c>
      <c r="I31" s="63"/>
    </row>
    <row r="32" spans="2:11" ht="13.9" thickBot="1" x14ac:dyDescent="0.4">
      <c r="B32" s="53" t="s">
        <v>171</v>
      </c>
      <c r="C32" s="307">
        <f>C13</f>
        <v>1123938.1499999999</v>
      </c>
      <c r="D32" s="53" t="str">
        <f ca="1">_xlfn.FORMULATEXT(C32)</f>
        <v>=C13</v>
      </c>
      <c r="I32" s="62"/>
      <c r="K32" s="64"/>
    </row>
    <row r="33" spans="2:11" ht="14.25" thickTop="1" x14ac:dyDescent="0.4">
      <c r="B33" s="57" t="s">
        <v>172</v>
      </c>
      <c r="C33" s="308">
        <f>SUM(C29:C32)</f>
        <v>7229622.9689879995</v>
      </c>
      <c r="D33" s="53" t="str">
        <f ca="1">_xlfn.FORMULATEXT(C33)</f>
        <v>=SUM(C29:C32)</v>
      </c>
      <c r="F33" s="61"/>
      <c r="I33" s="62"/>
    </row>
    <row r="35" spans="2:11" ht="13.9" x14ac:dyDescent="0.4">
      <c r="B35" s="54" t="s">
        <v>173</v>
      </c>
      <c r="C35" s="55"/>
      <c r="D35" s="55"/>
      <c r="E35" s="55"/>
      <c r="I35" s="62"/>
    </row>
    <row r="36" spans="2:11" ht="13.9" x14ac:dyDescent="0.4">
      <c r="C36" s="309"/>
      <c r="I36" s="65"/>
    </row>
    <row r="37" spans="2:11" x14ac:dyDescent="0.35">
      <c r="B37" s="53" t="s">
        <v>174</v>
      </c>
      <c r="C37" s="295">
        <f>C14</f>
        <v>512223.3801540581</v>
      </c>
      <c r="D37" s="53" t="str">
        <f ca="1">_xlfn.FORMULATEXT(C37)</f>
        <v>=C14</v>
      </c>
    </row>
    <row r="38" spans="2:11" x14ac:dyDescent="0.35">
      <c r="B38" s="53" t="s">
        <v>175</v>
      </c>
      <c r="C38" s="295">
        <f>C16*C12</f>
        <v>3830429.1815999993</v>
      </c>
      <c r="D38" s="53" t="str">
        <f ca="1">_xlfn.FORMULATEXT(C38)</f>
        <v>=C16*C12</v>
      </c>
    </row>
    <row r="39" spans="2:11" x14ac:dyDescent="0.35">
      <c r="B39" s="53" t="s">
        <v>176</v>
      </c>
      <c r="C39" s="295">
        <f>C31*(1-C11)</f>
        <v>0</v>
      </c>
      <c r="D39" s="53" t="str">
        <f ca="1">_xlfn.FORMULATEXT(C39)</f>
        <v>=C31*(1-C11)</v>
      </c>
    </row>
    <row r="40" spans="2:11" ht="13.9" thickBot="1" x14ac:dyDescent="0.4">
      <c r="B40" s="53" t="s">
        <v>177</v>
      </c>
      <c r="C40" s="310">
        <f>C41-SUM(C37:C39)</f>
        <v>2886970.4072339423</v>
      </c>
      <c r="D40" s="53" t="str">
        <f ca="1">_xlfn.FORMULATEXT(C40)</f>
        <v>=C41-SUM(C37:C39)</v>
      </c>
    </row>
    <row r="41" spans="2:11" ht="14.25" thickTop="1" x14ac:dyDescent="0.4">
      <c r="B41" s="57" t="s">
        <v>178</v>
      </c>
      <c r="C41" s="311">
        <f>C33</f>
        <v>7229622.9689879995</v>
      </c>
      <c r="D41" s="53" t="str">
        <f ca="1">_xlfn.FORMULATEXT(C41)</f>
        <v>=C33</v>
      </c>
    </row>
    <row r="43" spans="2:11" x14ac:dyDescent="0.35">
      <c r="K43" s="64"/>
    </row>
    <row r="44" spans="2:11" ht="13.9" x14ac:dyDescent="0.4">
      <c r="B44" s="54" t="s">
        <v>179</v>
      </c>
      <c r="C44" s="55"/>
      <c r="D44" s="55"/>
      <c r="E44" s="55"/>
    </row>
    <row r="45" spans="2:11" x14ac:dyDescent="0.35">
      <c r="D45" s="309" t="s">
        <v>180</v>
      </c>
    </row>
    <row r="46" spans="2:11" x14ac:dyDescent="0.35">
      <c r="B46" s="53" t="s">
        <v>176</v>
      </c>
      <c r="C46" s="295">
        <f>C39</f>
        <v>0</v>
      </c>
      <c r="D46" s="312">
        <f>C46/C48</f>
        <v>0</v>
      </c>
      <c r="E46" s="317" t="str">
        <f t="shared" ref="E46" ca="1" si="7">_xlfn.FORMULATEXT(D46)</f>
        <v>=C46/C48</v>
      </c>
      <c r="H46" s="64"/>
    </row>
    <row r="47" spans="2:11" ht="13.9" thickBot="1" x14ac:dyDescent="0.4">
      <c r="B47" s="53" t="s">
        <v>177</v>
      </c>
      <c r="C47" s="310">
        <f>C40</f>
        <v>2886970.4072339423</v>
      </c>
      <c r="D47" s="313">
        <f>C47/C48</f>
        <v>1</v>
      </c>
      <c r="E47" s="317" t="str">
        <f t="shared" ref="E47:E48" ca="1" si="8">_xlfn.FORMULATEXT(D47)</f>
        <v>=C47/C48</v>
      </c>
      <c r="H47" s="64"/>
    </row>
    <row r="48" spans="2:11" ht="13.9" thickTop="1" x14ac:dyDescent="0.35">
      <c r="B48" s="53" t="s">
        <v>181</v>
      </c>
      <c r="C48" s="296">
        <f>C46+C47</f>
        <v>2886970.4072339423</v>
      </c>
      <c r="D48" s="312">
        <f>D46+D47</f>
        <v>1</v>
      </c>
      <c r="E48" s="317" t="str">
        <f t="shared" ca="1" si="8"/>
        <v>=D46+D47</v>
      </c>
    </row>
    <row r="49" spans="2:5" x14ac:dyDescent="0.35">
      <c r="D49" s="314"/>
    </row>
    <row r="50" spans="2:5" x14ac:dyDescent="0.35">
      <c r="D50" s="314"/>
    </row>
    <row r="51" spans="2:5" x14ac:dyDescent="0.35">
      <c r="D51" s="314"/>
    </row>
    <row r="52" spans="2:5" ht="13.9" x14ac:dyDescent="0.4">
      <c r="D52" s="57"/>
      <c r="E52" s="57"/>
    </row>
    <row r="53" spans="2:5" ht="13.9" x14ac:dyDescent="0.4">
      <c r="B53" s="54" t="s">
        <v>182</v>
      </c>
      <c r="C53" s="55"/>
      <c r="D53" s="55"/>
      <c r="E53" s="55"/>
    </row>
    <row r="54" spans="2:5" x14ac:dyDescent="0.35">
      <c r="B54" s="53" t="s">
        <v>183</v>
      </c>
      <c r="C54" s="315">
        <f>1/7</f>
        <v>0.14285714285714285</v>
      </c>
      <c r="D54" s="53" t="str">
        <f ca="1">_xlfn.FORMULATEXT(C54)</f>
        <v>=1/7</v>
      </c>
    </row>
    <row r="55" spans="2:5" x14ac:dyDescent="0.35">
      <c r="B55" s="53" t="s">
        <v>184</v>
      </c>
      <c r="C55" s="306">
        <f>C54*C38</f>
        <v>547204.16879999987</v>
      </c>
      <c r="D55" s="53" t="str">
        <f ca="1">_xlfn.FORMULATEXT(C55)</f>
        <v>=C54*C38</v>
      </c>
    </row>
    <row r="56" spans="2:5" x14ac:dyDescent="0.35">
      <c r="B56" s="53" t="s">
        <v>185</v>
      </c>
      <c r="C56" s="295">
        <f>C55</f>
        <v>547204.16879999987</v>
      </c>
      <c r="D56" s="53" t="str">
        <f ca="1">_xlfn.FORMULATEXT(C56)</f>
        <v>=C55</v>
      </c>
    </row>
    <row r="57" spans="2:5" x14ac:dyDescent="0.35">
      <c r="B57" s="53" t="s">
        <v>186</v>
      </c>
      <c r="C57" s="295">
        <f>C38-C56</f>
        <v>3283225.0127999997</v>
      </c>
      <c r="D57" s="53" t="str">
        <f ca="1">_xlfn.FORMULATEXT(C57)</f>
        <v>=C38-C56</v>
      </c>
    </row>
  </sheetData>
  <phoneticPr fontId="10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FDC0E-6D8F-4B1D-86EF-82C235ED5E2A}">
  <sheetPr>
    <pageSetUpPr fitToPage="1"/>
  </sheetPr>
  <dimension ref="B1:O40"/>
  <sheetViews>
    <sheetView showGridLines="0" zoomScale="85" zoomScaleNormal="85" workbookViewId="0">
      <selection activeCell="B14" sqref="B14"/>
    </sheetView>
  </sheetViews>
  <sheetFormatPr defaultColWidth="8.796875" defaultRowHeight="13.5" x14ac:dyDescent="0.35"/>
  <cols>
    <col min="1" max="1" width="1.59765625" style="68" customWidth="1"/>
    <col min="2" max="2" width="57.46484375" style="22" customWidth="1"/>
    <col min="3" max="10" width="12.9296875" style="68" bestFit="1" customWidth="1"/>
    <col min="11" max="11" width="8.796875" style="68"/>
    <col min="12" max="12" width="11.59765625" style="68" customWidth="1"/>
    <col min="13" max="13" width="13.06640625" style="68" customWidth="1"/>
    <col min="14" max="15" width="12.59765625" style="68" bestFit="1" customWidth="1"/>
    <col min="16" max="16384" width="8.796875" style="68"/>
  </cols>
  <sheetData>
    <row r="1" spans="2:15" ht="13.9" thickBot="1" x14ac:dyDescent="0.4">
      <c r="B1" s="66"/>
      <c r="C1" s="67"/>
      <c r="D1" s="67"/>
      <c r="E1" s="67"/>
      <c r="F1" s="67"/>
      <c r="G1" s="67"/>
      <c r="H1" s="67"/>
      <c r="I1" s="67"/>
      <c r="J1" s="1"/>
      <c r="K1" s="2"/>
      <c r="L1" s="2"/>
      <c r="M1" s="2"/>
      <c r="N1" s="2"/>
    </row>
    <row r="2" spans="2:15" ht="14.25" thickBot="1" x14ac:dyDescent="0.45">
      <c r="B2" s="69" t="str">
        <f xml:space="preserve"> 'Assumptions '!C5&amp; " Consolidated Income Statement"</f>
        <v>CROCS, INC. Consolidated Income Statement</v>
      </c>
      <c r="C2" s="67"/>
      <c r="D2" s="67"/>
      <c r="E2" s="67"/>
      <c r="F2" s="67"/>
      <c r="G2" s="67"/>
      <c r="H2" s="67"/>
      <c r="I2" s="67"/>
      <c r="J2" s="1"/>
      <c r="K2" s="2"/>
      <c r="L2" s="2"/>
      <c r="M2" s="2"/>
      <c r="N2" s="2"/>
    </row>
    <row r="3" spans="2:15" ht="15" customHeight="1" x14ac:dyDescent="0.4">
      <c r="B3" s="5" t="str">
        <f>'Assumptions '!B3</f>
        <v>(Dollars in Thousands Except Per Share Data)</v>
      </c>
      <c r="C3" s="70"/>
      <c r="D3" s="70"/>
      <c r="E3" s="70"/>
      <c r="F3" s="70"/>
      <c r="G3" s="70"/>
      <c r="H3" s="70"/>
      <c r="I3" s="70"/>
      <c r="J3" s="2"/>
      <c r="K3" s="2"/>
      <c r="L3" s="2"/>
      <c r="M3" s="2"/>
      <c r="N3" s="2"/>
    </row>
    <row r="4" spans="2:15" x14ac:dyDescent="0.35">
      <c r="B4" s="14"/>
      <c r="J4" s="2"/>
      <c r="K4" s="2"/>
      <c r="L4" s="2"/>
      <c r="M4" s="2"/>
      <c r="N4" s="2"/>
    </row>
    <row r="5" spans="2:15" s="74" customFormat="1" ht="14.25" thickBot="1" x14ac:dyDescent="0.45">
      <c r="B5" s="71"/>
      <c r="C5" s="72">
        <f>D5-1</f>
        <v>2022</v>
      </c>
      <c r="D5" s="72">
        <f>E5-1</f>
        <v>2023</v>
      </c>
      <c r="E5" s="72">
        <f>'Assumptions '!C7</f>
        <v>2024</v>
      </c>
      <c r="F5" s="73">
        <f>'Assumptions '!D12</f>
        <v>2025</v>
      </c>
      <c r="G5" s="73">
        <f>'Assumptions '!E12</f>
        <v>2026</v>
      </c>
      <c r="H5" s="73">
        <f>'Assumptions '!F12</f>
        <v>2027</v>
      </c>
      <c r="I5" s="73">
        <f>'Assumptions '!G12</f>
        <v>2028</v>
      </c>
      <c r="J5" s="73">
        <f>'Assumptions '!H12</f>
        <v>2029</v>
      </c>
      <c r="K5" s="2"/>
      <c r="L5" s="2"/>
      <c r="M5" s="2"/>
      <c r="N5" s="2"/>
    </row>
    <row r="6" spans="2:15" x14ac:dyDescent="0.35">
      <c r="B6" s="14" t="s">
        <v>2</v>
      </c>
      <c r="K6" s="26"/>
      <c r="L6" s="2"/>
      <c r="M6" s="2"/>
      <c r="N6" s="2"/>
    </row>
    <row r="7" spans="2:15" x14ac:dyDescent="0.35">
      <c r="B7" s="15" t="s">
        <v>118</v>
      </c>
      <c r="C7" s="243">
        <v>1951442</v>
      </c>
      <c r="D7" s="243">
        <v>2060474</v>
      </c>
      <c r="E7" s="243">
        <v>2064018</v>
      </c>
      <c r="F7" s="244">
        <f>E7*('Assumptions '!D14+1)</f>
        <v>2084658.18</v>
      </c>
      <c r="G7" s="244">
        <f>F7*('Assumptions '!E14+1)</f>
        <v>2105504.7618</v>
      </c>
      <c r="H7" s="244">
        <f>G7*('Assumptions '!F14+1)</f>
        <v>2126559.8094179998</v>
      </c>
      <c r="I7" s="244">
        <f>H7*('Assumptions '!G14+1)</f>
        <v>2147825.40751218</v>
      </c>
      <c r="J7" s="244">
        <f>I7*('Assumptions '!H14+1)</f>
        <v>2169303.6615873016</v>
      </c>
      <c r="K7" s="26"/>
      <c r="L7" s="18"/>
      <c r="M7" s="75"/>
      <c r="N7" s="75"/>
      <c r="O7" s="75"/>
    </row>
    <row r="8" spans="2:15" x14ac:dyDescent="0.35">
      <c r="B8" s="15" t="s">
        <v>119</v>
      </c>
      <c r="C8" s="243">
        <v>1603543</v>
      </c>
      <c r="D8" s="243">
        <v>1901873</v>
      </c>
      <c r="E8" s="243">
        <v>2038090</v>
      </c>
      <c r="F8" s="244">
        <f>E8*('Assumptions '!D15+1)</f>
        <v>2078851.8</v>
      </c>
      <c r="G8" s="244">
        <f>F8*('Assumptions '!E15+1)</f>
        <v>2120428.8360000001</v>
      </c>
      <c r="H8" s="244">
        <f>G8*('Assumptions '!F15+1)</f>
        <v>2162837.4127200004</v>
      </c>
      <c r="I8" s="244">
        <f>H8*('Assumptions '!G15+1)</f>
        <v>2206094.1609744006</v>
      </c>
      <c r="J8" s="244">
        <f>I8*('Assumptions '!H15+1)</f>
        <v>2250216.0441938885</v>
      </c>
      <c r="K8" s="26"/>
      <c r="L8" s="18"/>
      <c r="M8" s="76"/>
      <c r="N8" s="76"/>
      <c r="O8" s="76"/>
    </row>
    <row r="9" spans="2:15" ht="13.9" x14ac:dyDescent="0.4">
      <c r="B9" s="13" t="s">
        <v>3</v>
      </c>
      <c r="C9" s="245">
        <f t="shared" ref="C9:J9" si="0">SUM(C7:C8)</f>
        <v>3554985</v>
      </c>
      <c r="D9" s="245">
        <f t="shared" si="0"/>
        <v>3962347</v>
      </c>
      <c r="E9" s="245">
        <f t="shared" si="0"/>
        <v>4102108</v>
      </c>
      <c r="F9" s="246">
        <f t="shared" si="0"/>
        <v>4163509.98</v>
      </c>
      <c r="G9" s="246">
        <f t="shared" si="0"/>
        <v>4225933.5977999996</v>
      </c>
      <c r="H9" s="246">
        <f t="shared" si="0"/>
        <v>4289397.2221380007</v>
      </c>
      <c r="I9" s="246">
        <f t="shared" si="0"/>
        <v>4353919.5684865806</v>
      </c>
      <c r="J9" s="246">
        <f t="shared" si="0"/>
        <v>4419519.7057811897</v>
      </c>
      <c r="K9" s="2"/>
      <c r="L9" s="77"/>
      <c r="M9" s="77"/>
      <c r="N9" s="76"/>
      <c r="O9" s="76"/>
    </row>
    <row r="10" spans="2:15" ht="13.9" x14ac:dyDescent="0.4">
      <c r="B10" s="13"/>
      <c r="C10" s="247"/>
      <c r="D10" s="248"/>
      <c r="E10" s="248"/>
      <c r="F10" s="249"/>
      <c r="G10" s="249"/>
      <c r="H10" s="249"/>
      <c r="I10" s="249"/>
      <c r="J10" s="249"/>
      <c r="K10" s="2"/>
      <c r="L10" s="77"/>
      <c r="M10" s="77"/>
      <c r="N10" s="76"/>
      <c r="O10" s="76"/>
    </row>
    <row r="11" spans="2:15" x14ac:dyDescent="0.35">
      <c r="B11" s="14" t="s">
        <v>45</v>
      </c>
      <c r="C11" s="250">
        <v>-1694703</v>
      </c>
      <c r="D11" s="250">
        <v>-1752337</v>
      </c>
      <c r="E11" s="232">
        <v>-1691850</v>
      </c>
      <c r="F11" s="251">
        <f>-F9*'Assumptions '!D18</f>
        <v>-1873579.4909999999</v>
      </c>
      <c r="G11" s="251">
        <f>-G9*'Assumptions '!E18</f>
        <v>-1901670.1190099998</v>
      </c>
      <c r="H11" s="251">
        <f>-H9*'Assumptions '!F18</f>
        <v>-1930228.7499621003</v>
      </c>
      <c r="I11" s="251">
        <f>-I9*'Assumptions '!G18</f>
        <v>-1959263.8058189612</v>
      </c>
      <c r="J11" s="251">
        <f>-J9*'Assumptions '!H18</f>
        <v>-1988783.8676015355</v>
      </c>
      <c r="K11" s="2"/>
      <c r="L11" s="79"/>
      <c r="M11" s="79"/>
      <c r="N11" s="80"/>
      <c r="O11" s="80"/>
    </row>
    <row r="12" spans="2:15" ht="13.9" x14ac:dyDescent="0.4">
      <c r="B12" s="13" t="s">
        <v>121</v>
      </c>
      <c r="C12" s="245">
        <f>C9+C11</f>
        <v>1860282</v>
      </c>
      <c r="D12" s="245">
        <f t="shared" ref="D12:J12" si="1">D9+D11</f>
        <v>2210010</v>
      </c>
      <c r="E12" s="245">
        <f t="shared" si="1"/>
        <v>2410258</v>
      </c>
      <c r="F12" s="245">
        <f t="shared" si="1"/>
        <v>2289930.4890000001</v>
      </c>
      <c r="G12" s="245">
        <f t="shared" si="1"/>
        <v>2324263.4787900001</v>
      </c>
      <c r="H12" s="245">
        <f t="shared" si="1"/>
        <v>2359168.4721759004</v>
      </c>
      <c r="I12" s="245">
        <f t="shared" si="1"/>
        <v>2394655.7626676196</v>
      </c>
      <c r="J12" s="245">
        <f t="shared" si="1"/>
        <v>2430735.8381796544</v>
      </c>
      <c r="K12" s="2"/>
      <c r="L12" s="76"/>
      <c r="M12" s="18"/>
      <c r="N12" s="80"/>
      <c r="O12" s="80"/>
    </row>
    <row r="13" spans="2:15" x14ac:dyDescent="0.35">
      <c r="B13" s="14" t="s">
        <v>69</v>
      </c>
      <c r="C13" s="250"/>
      <c r="D13" s="250"/>
      <c r="E13" s="250"/>
      <c r="F13" s="252"/>
      <c r="G13" s="252"/>
      <c r="H13" s="252"/>
      <c r="I13" s="252"/>
      <c r="J13" s="252"/>
      <c r="K13" s="82"/>
      <c r="L13" s="18"/>
      <c r="M13" s="76"/>
      <c r="N13" s="76"/>
      <c r="O13" s="76"/>
    </row>
    <row r="14" spans="2:15" x14ac:dyDescent="0.35">
      <c r="B14" s="8" t="str">
        <f>'Assumptions '!B19</f>
        <v>Selling, General &amp; Administration Expenses</v>
      </c>
      <c r="C14" s="253">
        <v>-982706</v>
      </c>
      <c r="D14" s="253">
        <v>-1140812</v>
      </c>
      <c r="E14" s="253">
        <v>-1341575</v>
      </c>
      <c r="F14" s="252">
        <f>-F9*'Assumptions '!D19</f>
        <v>-1332323.1936000001</v>
      </c>
      <c r="G14" s="252">
        <f>-G9*'Assumptions '!E19</f>
        <v>-1352298.7512959999</v>
      </c>
      <c r="H14" s="252">
        <f>-H9*'Assumptions '!F19</f>
        <v>-1372607.1110841602</v>
      </c>
      <c r="I14" s="252">
        <f>-I9*'Assumptions '!G19</f>
        <v>-1393254.2619157059</v>
      </c>
      <c r="J14" s="252">
        <f>-J9*'Assumptions '!H19</f>
        <v>-1414246.3058499808</v>
      </c>
      <c r="K14" s="26"/>
      <c r="L14" s="18"/>
      <c r="M14" s="76"/>
      <c r="N14" s="76"/>
      <c r="O14" s="76"/>
    </row>
    <row r="15" spans="2:15" x14ac:dyDescent="0.35">
      <c r="B15" s="8" t="s">
        <v>62</v>
      </c>
      <c r="C15" s="232">
        <v>-26820</v>
      </c>
      <c r="D15" s="232">
        <v>-32415</v>
      </c>
      <c r="E15" s="232">
        <v>-46772</v>
      </c>
      <c r="F15" s="235">
        <f>'PPE Schedule'!H9</f>
        <v>-57389.351727523994</v>
      </c>
      <c r="G15" s="235">
        <f>'PPE Schedule'!I9</f>
        <v>-64887.434634838522</v>
      </c>
      <c r="H15" s="235">
        <f>'PPE Schedule'!J9</f>
        <v>-73082.794026258372</v>
      </c>
      <c r="I15" s="235">
        <f>'PPE Schedule'!K9</f>
        <v>-81104.69654085816</v>
      </c>
      <c r="J15" s="235">
        <f>'PPE Schedule'!L9</f>
        <v>-89398.06672740198</v>
      </c>
      <c r="K15" s="75"/>
      <c r="L15" s="75"/>
      <c r="M15" s="75"/>
      <c r="N15" s="76"/>
      <c r="O15" s="76"/>
    </row>
    <row r="16" spans="2:15" ht="13.9" x14ac:dyDescent="0.4">
      <c r="B16" s="13" t="s">
        <v>68</v>
      </c>
      <c r="C16" s="245">
        <f t="shared" ref="C16:J16" si="2">SUM(C14:C15)</f>
        <v>-1009526</v>
      </c>
      <c r="D16" s="245">
        <f t="shared" si="2"/>
        <v>-1173227</v>
      </c>
      <c r="E16" s="245">
        <f t="shared" si="2"/>
        <v>-1388347</v>
      </c>
      <c r="F16" s="245">
        <f t="shared" si="2"/>
        <v>-1389712.5453275242</v>
      </c>
      <c r="G16" s="245">
        <f t="shared" si="2"/>
        <v>-1417186.1859308383</v>
      </c>
      <c r="H16" s="245">
        <f t="shared" si="2"/>
        <v>-1445689.9051104186</v>
      </c>
      <c r="I16" s="245">
        <f t="shared" si="2"/>
        <v>-1474358.958456564</v>
      </c>
      <c r="J16" s="245">
        <f t="shared" si="2"/>
        <v>-1503644.3725773827</v>
      </c>
      <c r="K16" s="2"/>
      <c r="L16" s="18"/>
      <c r="M16" s="76"/>
      <c r="N16" s="76"/>
      <c r="O16" s="76"/>
    </row>
    <row r="17" spans="2:15" x14ac:dyDescent="0.35">
      <c r="B17" s="14"/>
      <c r="C17" s="250"/>
      <c r="D17" s="250"/>
      <c r="E17" s="250"/>
      <c r="F17" s="252"/>
      <c r="G17" s="252"/>
      <c r="H17" s="252"/>
      <c r="I17" s="252"/>
      <c r="J17" s="252"/>
      <c r="K17" s="2"/>
      <c r="L17" s="18"/>
      <c r="M17" s="76"/>
      <c r="N17" s="76"/>
      <c r="O17" s="76"/>
    </row>
    <row r="18" spans="2:15" ht="13.9" x14ac:dyDescent="0.4">
      <c r="B18" s="30" t="s">
        <v>4</v>
      </c>
      <c r="C18" s="247">
        <f>C12+C16</f>
        <v>850756</v>
      </c>
      <c r="D18" s="247">
        <f t="shared" ref="D18:J18" si="3">D12+D16</f>
        <v>1036783</v>
      </c>
      <c r="E18" s="247">
        <f t="shared" si="3"/>
        <v>1021911</v>
      </c>
      <c r="F18" s="247">
        <f t="shared" si="3"/>
        <v>900217.94367247587</v>
      </c>
      <c r="G18" s="247">
        <f t="shared" si="3"/>
        <v>907077.29285916174</v>
      </c>
      <c r="H18" s="247">
        <f t="shared" si="3"/>
        <v>913478.56706548179</v>
      </c>
      <c r="I18" s="247">
        <f t="shared" si="3"/>
        <v>920296.80421105563</v>
      </c>
      <c r="J18" s="247">
        <f t="shared" si="3"/>
        <v>927091.46560227172</v>
      </c>
      <c r="K18" s="2"/>
      <c r="L18" s="18"/>
      <c r="M18" s="76"/>
      <c r="N18" s="76"/>
      <c r="O18" s="76"/>
    </row>
    <row r="19" spans="2:15" ht="13.9" x14ac:dyDescent="0.4">
      <c r="B19" s="21" t="s">
        <v>123</v>
      </c>
      <c r="C19" s="232">
        <v>3228</v>
      </c>
      <c r="D19" s="232">
        <v>-1240</v>
      </c>
      <c r="E19" s="232">
        <v>-6777</v>
      </c>
      <c r="F19" s="247">
        <f>F9*'Assumptions '!D22</f>
        <v>-1665.403992</v>
      </c>
      <c r="G19" s="247">
        <f>G9*'Assumptions '!E22</f>
        <v>-1690.3734391199998</v>
      </c>
      <c r="H19" s="247">
        <f>H9*'Assumptions '!F22</f>
        <v>-1715.7588888552004</v>
      </c>
      <c r="I19" s="247">
        <f>I9*'Assumptions '!G22</f>
        <v>-1741.5678273946323</v>
      </c>
      <c r="J19" s="247">
        <f>J9*'Assumptions '!H22</f>
        <v>-1767.8078823124761</v>
      </c>
      <c r="K19" s="2"/>
      <c r="L19" s="18"/>
      <c r="M19" s="76"/>
      <c r="N19" s="76"/>
      <c r="O19" s="76"/>
    </row>
    <row r="20" spans="2:15" x14ac:dyDescent="0.35">
      <c r="B20" s="21" t="s">
        <v>80</v>
      </c>
      <c r="C20" s="232">
        <v>1020</v>
      </c>
      <c r="D20" s="232">
        <v>2406</v>
      </c>
      <c r="E20" s="232">
        <v>3484</v>
      </c>
      <c r="F20" s="252">
        <f>IFERROR(IF(Breaker="On", 0, 'Debt &amp; Equity Schedule'!E67),0)</f>
        <v>0</v>
      </c>
      <c r="G20" s="252">
        <f>IFERROR(IF(Breaker="On", 0, 'Debt &amp; Equity Schedule'!F67),0)</f>
        <v>0</v>
      </c>
      <c r="H20" s="252">
        <f>IFERROR(IF(Breaker="On", 0, 'Debt &amp; Equity Schedule'!G67),0)</f>
        <v>0</v>
      </c>
      <c r="I20" s="252">
        <f>IFERROR(IF(Breaker="On", 0, 'Debt &amp; Equity Schedule'!H67),0)</f>
        <v>0</v>
      </c>
      <c r="J20" s="252">
        <f>IFERROR(IF(Breaker="On", 0, 'Debt &amp; Equity Schedule'!I67),0)</f>
        <v>0</v>
      </c>
      <c r="K20" s="2"/>
      <c r="L20" s="18"/>
      <c r="M20" s="75"/>
      <c r="N20" s="75"/>
      <c r="O20" s="75"/>
    </row>
    <row r="21" spans="2:15" x14ac:dyDescent="0.35">
      <c r="B21" s="21" t="s">
        <v>8</v>
      </c>
      <c r="C21" s="232">
        <v>-136158</v>
      </c>
      <c r="D21" s="232">
        <v>-161351</v>
      </c>
      <c r="E21" s="232">
        <v>-109264</v>
      </c>
      <c r="F21" s="252">
        <f>IFERROR(IF(Breaker="On", 0, 'Debt &amp; Equity Schedule'!E59),0)</f>
        <v>0</v>
      </c>
      <c r="G21" s="252">
        <f>IFERROR(IF(Breaker="On", 0, 'Debt &amp; Equity Schedule'!F59),0)</f>
        <v>0</v>
      </c>
      <c r="H21" s="252">
        <f>IFERROR(IF(Breaker="On", 0, 'Debt &amp; Equity Schedule'!G59),0)</f>
        <v>0</v>
      </c>
      <c r="I21" s="252">
        <f>IFERROR(IF(Breaker="On", 0, 'Debt &amp; Equity Schedule'!H59),0)</f>
        <v>0</v>
      </c>
      <c r="J21" s="252">
        <f>IFERROR(IF(Breaker="On", 0, 'Debt &amp; Equity Schedule'!I59),0)</f>
        <v>0</v>
      </c>
      <c r="K21" s="2"/>
      <c r="L21" s="21"/>
      <c r="M21" s="2"/>
      <c r="N21" s="2"/>
    </row>
    <row r="22" spans="2:15" x14ac:dyDescent="0.35">
      <c r="B22" s="21" t="s">
        <v>124</v>
      </c>
      <c r="C22" s="232">
        <v>-338</v>
      </c>
      <c r="D22" s="232">
        <v>-326</v>
      </c>
      <c r="E22" s="232">
        <v>1231</v>
      </c>
      <c r="F22" s="254">
        <f>'Assumptions '!D25*F9</f>
        <v>832.70199600000001</v>
      </c>
      <c r="G22" s="254">
        <f>'Assumptions '!E25*G9</f>
        <v>845.18671955999991</v>
      </c>
      <c r="H22" s="254">
        <f>'Assumptions '!F25*H9</f>
        <v>857.87944442760022</v>
      </c>
      <c r="I22" s="254">
        <f>'Assumptions '!G25*I9</f>
        <v>870.78391369731617</v>
      </c>
      <c r="J22" s="254">
        <f>'Assumptions '!H25*J9</f>
        <v>883.90394115623803</v>
      </c>
      <c r="K22" s="2"/>
      <c r="L22" s="2"/>
      <c r="M22" s="2"/>
      <c r="N22" s="2"/>
    </row>
    <row r="23" spans="2:15" ht="13.9" x14ac:dyDescent="0.4">
      <c r="B23" s="30" t="s">
        <v>78</v>
      </c>
      <c r="C23" s="247">
        <f>SUM(C18:C22)</f>
        <v>718508</v>
      </c>
      <c r="D23" s="247">
        <f>SUM(D18:D22)</f>
        <v>876272</v>
      </c>
      <c r="E23" s="247">
        <f>SUM(E18:E22)</f>
        <v>910585</v>
      </c>
      <c r="F23" s="247">
        <f>F18+F19+F22</f>
        <v>899385.24167647585</v>
      </c>
      <c r="G23" s="247">
        <f>G18+G19+G22</f>
        <v>906232.10613960167</v>
      </c>
      <c r="H23" s="247">
        <f>H18+H19+H22</f>
        <v>912620.68762105412</v>
      </c>
      <c r="I23" s="247">
        <f>I18+I19+I22</f>
        <v>919426.02029735839</v>
      </c>
      <c r="J23" s="247">
        <f>J18+J19+J22</f>
        <v>926207.5616611155</v>
      </c>
      <c r="K23" s="2"/>
      <c r="L23" s="2"/>
      <c r="M23" s="2"/>
      <c r="N23" s="2"/>
    </row>
    <row r="24" spans="2:15" x14ac:dyDescent="0.35">
      <c r="B24" s="34" t="s">
        <v>125</v>
      </c>
      <c r="C24" s="232">
        <v>178349</v>
      </c>
      <c r="D24" s="232">
        <v>83706</v>
      </c>
      <c r="E24" s="232">
        <v>-39486</v>
      </c>
      <c r="F24" s="255">
        <f>-F23*'Assumptions '!D26</f>
        <v>-188870.90075205991</v>
      </c>
      <c r="G24" s="255">
        <f>-G23*'Assumptions '!E26</f>
        <v>-190308.74228931635</v>
      </c>
      <c r="H24" s="255">
        <f>-H23*'Assumptions '!F26</f>
        <v>-191650.34440042137</v>
      </c>
      <c r="I24" s="255">
        <f>-I23*'Assumptions '!G26</f>
        <v>-193079.46426244525</v>
      </c>
      <c r="J24" s="255">
        <f>-J23*'Assumptions '!H26</f>
        <v>-194503.58794883426</v>
      </c>
      <c r="K24" s="84"/>
      <c r="L24" s="2"/>
      <c r="M24" s="2"/>
      <c r="N24" s="2"/>
    </row>
    <row r="25" spans="2:15" ht="14.25" thickBot="1" x14ac:dyDescent="0.45">
      <c r="B25" s="30" t="s">
        <v>135</v>
      </c>
      <c r="C25" s="256">
        <f>C23-C24</f>
        <v>540159</v>
      </c>
      <c r="D25" s="256">
        <f t="shared" ref="D25:J25" si="4">D23-D24</f>
        <v>792566</v>
      </c>
      <c r="E25" s="256">
        <f t="shared" si="4"/>
        <v>950071</v>
      </c>
      <c r="F25" s="256">
        <f t="shared" si="4"/>
        <v>1088256.1424285357</v>
      </c>
      <c r="G25" s="256">
        <f t="shared" si="4"/>
        <v>1096540.848428918</v>
      </c>
      <c r="H25" s="256">
        <f t="shared" si="4"/>
        <v>1104271.0320214755</v>
      </c>
      <c r="I25" s="256">
        <f t="shared" si="4"/>
        <v>1112505.4845598037</v>
      </c>
      <c r="J25" s="256">
        <f t="shared" si="4"/>
        <v>1120711.1496099497</v>
      </c>
      <c r="K25" s="2"/>
      <c r="L25" s="2"/>
      <c r="M25" s="2"/>
      <c r="N25" s="2"/>
    </row>
    <row r="26" spans="2:15" ht="13.9" thickTop="1" x14ac:dyDescent="0.35">
      <c r="B26" s="21"/>
      <c r="F26" s="85"/>
      <c r="G26" s="85"/>
      <c r="H26" s="85"/>
      <c r="I26" s="85"/>
      <c r="J26" s="85"/>
    </row>
    <row r="27" spans="2:15" x14ac:dyDescent="0.35">
      <c r="F27" s="81"/>
      <c r="G27" s="81"/>
      <c r="H27" s="81"/>
      <c r="I27" s="81"/>
      <c r="J27" s="81"/>
    </row>
    <row r="28" spans="2:15" x14ac:dyDescent="0.35">
      <c r="C28" s="86"/>
    </row>
    <row r="36" s="2" customFormat="1" x14ac:dyDescent="0.35"/>
    <row r="37" s="2" customFormat="1" x14ac:dyDescent="0.35"/>
    <row r="38" s="2" customFormat="1" x14ac:dyDescent="0.35"/>
    <row r="39" s="2" customFormat="1" x14ac:dyDescent="0.35"/>
    <row r="40" s="2" customFormat="1" x14ac:dyDescent="0.35"/>
  </sheetData>
  <phoneticPr fontId="10" type="noConversion"/>
  <pageMargins left="0.75" right="0.75" top="1" bottom="1" header="0.5" footer="0.5"/>
  <pageSetup scale="62" orientation="portrait" horizontalDpi="4294967292" r:id="rId1"/>
  <headerFooter alignWithMargins="0">
    <oddHeader>&amp;C&amp;F
Page 2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CE2B9-6D1E-4A02-8463-B5BEE80D6A4D}">
  <dimension ref="B2:K38"/>
  <sheetViews>
    <sheetView showGridLines="0" zoomScale="70" zoomScaleNormal="70" workbookViewId="0">
      <selection activeCell="L27" sqref="L27"/>
    </sheetView>
  </sheetViews>
  <sheetFormatPr defaultColWidth="9.06640625" defaultRowHeight="13.5" x14ac:dyDescent="0.35"/>
  <cols>
    <col min="1" max="1" width="2.73046875" style="59" customWidth="1"/>
    <col min="2" max="2" width="35.73046875" style="59" customWidth="1"/>
    <col min="3" max="3" width="9.06640625" style="59"/>
    <col min="4" max="6" width="13" style="59" customWidth="1"/>
    <col min="7" max="10" width="12.06640625" style="59" customWidth="1"/>
    <col min="11" max="11" width="12.796875" style="59" bestFit="1" customWidth="1"/>
    <col min="12" max="16384" width="9.06640625" style="59"/>
  </cols>
  <sheetData>
    <row r="2" spans="2:11" ht="13.9" x14ac:dyDescent="0.4">
      <c r="B2" s="87" t="s">
        <v>191</v>
      </c>
      <c r="C2" s="88"/>
      <c r="D2" s="88"/>
      <c r="E2" s="88"/>
      <c r="F2" s="88"/>
      <c r="G2" s="88"/>
      <c r="H2" s="88"/>
      <c r="I2" s="88"/>
      <c r="J2" s="88"/>
    </row>
    <row r="4" spans="2:11" x14ac:dyDescent="0.35">
      <c r="D4" s="89"/>
      <c r="F4" s="90"/>
    </row>
    <row r="5" spans="2:11" ht="12.75" customHeight="1" x14ac:dyDescent="0.35">
      <c r="D5" s="272"/>
      <c r="E5" s="342" t="s">
        <v>192</v>
      </c>
      <c r="F5" s="342"/>
      <c r="G5" s="342"/>
      <c r="H5" s="342"/>
      <c r="I5" s="342"/>
    </row>
    <row r="6" spans="2:11" ht="13.9" x14ac:dyDescent="0.4">
      <c r="B6" s="91" t="s">
        <v>193</v>
      </c>
      <c r="E6" s="273">
        <f>F6-0.5</f>
        <v>5.9631530773381183</v>
      </c>
      <c r="F6" s="273">
        <f>G6-0.5</f>
        <v>6.4631530773381183</v>
      </c>
      <c r="G6" s="273">
        <f>'Transaction Summary'!C17</f>
        <v>6.9631530773381183</v>
      </c>
      <c r="H6" s="273">
        <f>G6+0.5</f>
        <v>7.4631530773381183</v>
      </c>
      <c r="I6" s="273">
        <f>H6+0.5</f>
        <v>7.9631530773381183</v>
      </c>
      <c r="K6" s="92"/>
    </row>
    <row r="7" spans="2:11" x14ac:dyDescent="0.35">
      <c r="B7" s="93" t="s">
        <v>194</v>
      </c>
      <c r="E7" s="274">
        <f>'Income Statement '!$J$18-'Income Statement '!$J$15</f>
        <v>1016489.5323296736</v>
      </c>
      <c r="F7" s="274">
        <f>'Income Statement '!$J$18-'Income Statement '!$J$15</f>
        <v>1016489.5323296736</v>
      </c>
      <c r="G7" s="274">
        <f>'Income Statement '!$J$18-'Income Statement '!$J$15</f>
        <v>1016489.5323296736</v>
      </c>
      <c r="H7" s="274">
        <f>'Income Statement '!$J$18-'Income Statement '!$J$15</f>
        <v>1016489.5323296736</v>
      </c>
      <c r="I7" s="274">
        <f>'Income Statement '!$J$18-'Income Statement '!$J$15</f>
        <v>1016489.5323296736</v>
      </c>
      <c r="J7" s="59" t="str">
        <f ca="1">_xlfn.FORMULATEXT(E7)</f>
        <v>='Income Statement '!$J$18-'Income Statement '!$J$15</v>
      </c>
      <c r="K7" s="92"/>
    </row>
    <row r="8" spans="2:11" ht="13.9" x14ac:dyDescent="0.4">
      <c r="B8" s="94" t="s">
        <v>195</v>
      </c>
      <c r="E8" s="275">
        <f>E6*E7</f>
        <v>6061482.6827936778</v>
      </c>
      <c r="F8" s="275">
        <f>F6*F7</f>
        <v>6569727.4489585152</v>
      </c>
      <c r="G8" s="275">
        <f>G6*G7</f>
        <v>7077972.2151233517</v>
      </c>
      <c r="H8" s="275">
        <f>H6*H7</f>
        <v>7586216.9812881881</v>
      </c>
      <c r="I8" s="275">
        <f>I6*I7</f>
        <v>8094461.7474530255</v>
      </c>
      <c r="J8" s="59" t="str">
        <f t="shared" ref="J8" ca="1" si="0">_xlfn.FORMULATEXT(E8)</f>
        <v>=E6*E7</v>
      </c>
      <c r="K8" s="92"/>
    </row>
    <row r="9" spans="2:11" x14ac:dyDescent="0.35">
      <c r="B9" s="95" t="s">
        <v>196</v>
      </c>
      <c r="J9" s="60"/>
      <c r="K9" s="92"/>
    </row>
    <row r="10" spans="2:11" x14ac:dyDescent="0.35">
      <c r="B10" s="96" t="s">
        <v>197</v>
      </c>
      <c r="E10" s="274">
        <f ca="1">'Balance Sheet '!$M$29</f>
        <v>0</v>
      </c>
      <c r="F10" s="274">
        <f ca="1">'Balance Sheet '!$M$29</f>
        <v>0</v>
      </c>
      <c r="G10" s="274">
        <f ca="1">'Balance Sheet '!$M$29</f>
        <v>0</v>
      </c>
      <c r="H10" s="274">
        <f ca="1">'Balance Sheet '!$M$29</f>
        <v>0</v>
      </c>
      <c r="I10" s="274">
        <f ca="1">'Balance Sheet '!$M$29</f>
        <v>0</v>
      </c>
      <c r="J10" s="59" t="str">
        <f t="shared" ref="J10:J12" ca="1" si="1">_xlfn.FORMULATEXT(E10)</f>
        <v>='Balance Sheet '!$M$29</v>
      </c>
      <c r="K10" s="92"/>
    </row>
    <row r="11" spans="2:11" x14ac:dyDescent="0.35">
      <c r="B11" s="97" t="s">
        <v>198</v>
      </c>
      <c r="E11" s="274">
        <f>'Balance Sheet '!$M$28+'Balance Sheet '!$M$23</f>
        <v>1622460.3604919997</v>
      </c>
      <c r="F11" s="274">
        <f>'Balance Sheet '!$M$28+'Balance Sheet '!$M$23</f>
        <v>1622460.3604919997</v>
      </c>
      <c r="G11" s="274">
        <f>'Balance Sheet '!$M$28+'Balance Sheet '!$M$23</f>
        <v>1622460.3604919997</v>
      </c>
      <c r="H11" s="274">
        <f>'Balance Sheet '!$M$28+'Balance Sheet '!$M$23</f>
        <v>1622460.3604919997</v>
      </c>
      <c r="I11" s="274">
        <f>'Balance Sheet '!$M$28+'Balance Sheet '!$M$23</f>
        <v>1622460.3604919997</v>
      </c>
      <c r="J11" s="59" t="str">
        <f t="shared" ca="1" si="1"/>
        <v>='Balance Sheet '!$M$28+'Balance Sheet '!$M$23</v>
      </c>
      <c r="K11" s="92"/>
    </row>
    <row r="12" spans="2:11" x14ac:dyDescent="0.35">
      <c r="B12" s="97" t="s">
        <v>199</v>
      </c>
      <c r="E12" s="274">
        <f ca="1">'Balance Sheet '!$M$8</f>
        <v>2035383.3781227686</v>
      </c>
      <c r="F12" s="274">
        <f ca="1">'Balance Sheet '!$M$8</f>
        <v>2035383.3781227686</v>
      </c>
      <c r="G12" s="274">
        <f ca="1">'Balance Sheet '!$M$8</f>
        <v>2035383.3781227686</v>
      </c>
      <c r="H12" s="274">
        <f ca="1">'Balance Sheet '!$M$8</f>
        <v>2035383.3781227686</v>
      </c>
      <c r="I12" s="274">
        <f ca="1">'Balance Sheet '!$M$8</f>
        <v>2035383.3781227686</v>
      </c>
      <c r="J12" s="59" t="str">
        <f t="shared" ca="1" si="1"/>
        <v>='Balance Sheet '!$M$8</v>
      </c>
      <c r="K12" s="92"/>
    </row>
    <row r="13" spans="2:11" x14ac:dyDescent="0.35">
      <c r="B13" s="97"/>
      <c r="E13" s="274"/>
      <c r="F13" s="276"/>
      <c r="G13" s="276"/>
      <c r="H13" s="276"/>
      <c r="I13" s="276"/>
      <c r="K13" s="92"/>
    </row>
    <row r="14" spans="2:11" ht="13.9" x14ac:dyDescent="0.4">
      <c r="B14" s="98" t="s">
        <v>200</v>
      </c>
      <c r="D14" s="277" t="s">
        <v>201</v>
      </c>
      <c r="E14" s="278">
        <f ca="1">E8-(E10+E11-E12)</f>
        <v>6474405.7004244467</v>
      </c>
      <c r="F14" s="278">
        <f t="shared" ref="F14:I14" ca="1" si="2">F8-(F10+F11-F12)</f>
        <v>6982650.4665892841</v>
      </c>
      <c r="G14" s="278">
        <f t="shared" ca="1" si="2"/>
        <v>7490895.2327541206</v>
      </c>
      <c r="H14" s="278">
        <f t="shared" ca="1" si="2"/>
        <v>7999139.9989189571</v>
      </c>
      <c r="I14" s="278">
        <f t="shared" ca="1" si="2"/>
        <v>8507384.7650837936</v>
      </c>
      <c r="J14" s="59" t="str">
        <f ca="1">_xlfn.FORMULATEXT(E14)</f>
        <v>=E8-(E10+E11-E12)</v>
      </c>
      <c r="K14" s="92"/>
    </row>
    <row r="15" spans="2:11" x14ac:dyDescent="0.35">
      <c r="B15" s="59" t="s">
        <v>176</v>
      </c>
      <c r="D15" s="279">
        <f>1-'Transaction Summary'!$C$11</f>
        <v>0</v>
      </c>
      <c r="E15" s="280">
        <f ca="1">$D$15*E14</f>
        <v>0</v>
      </c>
      <c r="F15" s="280">
        <f t="shared" ref="F15:I15" ca="1" si="3">$D$15*F14</f>
        <v>0</v>
      </c>
      <c r="G15" s="280">
        <f t="shared" ca="1" si="3"/>
        <v>0</v>
      </c>
      <c r="H15" s="280">
        <f t="shared" ca="1" si="3"/>
        <v>0</v>
      </c>
      <c r="I15" s="280">
        <f t="shared" ca="1" si="3"/>
        <v>0</v>
      </c>
      <c r="J15" s="59" t="str">
        <f t="shared" ref="J15" ca="1" si="4">_xlfn.FORMULATEXT(E15)</f>
        <v>=$D$15*E14</v>
      </c>
      <c r="K15" s="92"/>
    </row>
    <row r="16" spans="2:11" x14ac:dyDescent="0.35">
      <c r="B16" s="59" t="s">
        <v>177</v>
      </c>
      <c r="D16" s="281">
        <f>'Transaction Summary'!C11</f>
        <v>1</v>
      </c>
      <c r="E16" s="280">
        <f ca="1">$D$16*E14</f>
        <v>6474405.7004244467</v>
      </c>
      <c r="F16" s="280">
        <f t="shared" ref="F16:I16" ca="1" si="5">$D$16*F14</f>
        <v>6982650.4665892841</v>
      </c>
      <c r="G16" s="280">
        <f t="shared" ca="1" si="5"/>
        <v>7490895.2327541206</v>
      </c>
      <c r="H16" s="280">
        <f t="shared" ca="1" si="5"/>
        <v>7999139.9989189571</v>
      </c>
      <c r="I16" s="280">
        <f t="shared" ca="1" si="5"/>
        <v>8507384.7650837936</v>
      </c>
      <c r="J16" s="59" t="str">
        <f ca="1">_xlfn.FORMULATEXT(E16)</f>
        <v>=$D$16*E14</v>
      </c>
      <c r="K16" s="92"/>
    </row>
    <row r="19" spans="2:11" ht="13.9" x14ac:dyDescent="0.4">
      <c r="B19" s="87" t="s">
        <v>225</v>
      </c>
      <c r="C19" s="88"/>
      <c r="D19" s="88"/>
      <c r="E19" s="88"/>
      <c r="F19" s="88"/>
      <c r="G19" s="88"/>
      <c r="H19" s="88"/>
      <c r="I19" s="88"/>
      <c r="J19" s="88"/>
    </row>
    <row r="20" spans="2:11" ht="13.9" x14ac:dyDescent="0.4">
      <c r="D20" s="282" t="s">
        <v>202</v>
      </c>
      <c r="E20" s="282">
        <v>2025</v>
      </c>
      <c r="F20" s="282">
        <v>2026</v>
      </c>
      <c r="G20" s="282">
        <v>2027</v>
      </c>
      <c r="H20" s="282">
        <v>2028</v>
      </c>
      <c r="I20" s="282">
        <v>2029</v>
      </c>
    </row>
    <row r="21" spans="2:11" x14ac:dyDescent="0.35">
      <c r="B21" s="99" cm="1">
        <f t="array" ref="B21:B25">TRANSPOSE(E6:I6)</f>
        <v>5.9631530773381183</v>
      </c>
      <c r="D21" s="283">
        <f ca="1">IRR(E21:I21)</f>
        <v>0.22374067197925074</v>
      </c>
      <c r="E21" s="284">
        <f>-'Transaction Summary'!$C$40</f>
        <v>-2886970.4072339423</v>
      </c>
      <c r="F21" s="285">
        <v>0</v>
      </c>
      <c r="G21" s="285">
        <v>0</v>
      </c>
      <c r="H21" s="285">
        <v>0</v>
      </c>
      <c r="I21" s="285" cm="1">
        <f t="array" aca="1" ref="I21:I25" ca="1">TRANSPOSE((E16:I16))</f>
        <v>6474405.7004244467</v>
      </c>
      <c r="J21" s="59" t="str">
        <f ca="1">_xlfn.FORMULATEXT(I21)</f>
        <v>=TRANSPOSE((E16:I16))</v>
      </c>
    </row>
    <row r="22" spans="2:11" x14ac:dyDescent="0.35">
      <c r="B22" s="99">
        <v>6.4631530773381183</v>
      </c>
      <c r="D22" s="283">
        <f t="shared" ref="D22:D25" ca="1" si="6">IRR(E22:I22)</f>
        <v>0.24708051223506389</v>
      </c>
      <c r="E22" s="284">
        <f>-'Transaction Summary'!$C$40</f>
        <v>-2886970.4072339423</v>
      </c>
      <c r="F22" s="285">
        <v>0</v>
      </c>
      <c r="G22" s="285">
        <v>0</v>
      </c>
      <c r="H22" s="285">
        <v>0</v>
      </c>
      <c r="I22" s="285">
        <f ca="1"/>
        <v>6982650.4665892841</v>
      </c>
    </row>
    <row r="23" spans="2:11" x14ac:dyDescent="0.35">
      <c r="B23" s="99">
        <v>6.9631530773381183</v>
      </c>
      <c r="D23" s="283">
        <f t="shared" ca="1" si="6"/>
        <v>0.26917891271385153</v>
      </c>
      <c r="E23" s="284">
        <f>-'Transaction Summary'!$C$40</f>
        <v>-2886970.4072339423</v>
      </c>
      <c r="F23" s="285">
        <v>0</v>
      </c>
      <c r="G23" s="285">
        <v>0</v>
      </c>
      <c r="H23" s="285">
        <v>0</v>
      </c>
      <c r="I23" s="285">
        <f ca="1"/>
        <v>7490895.2327541206</v>
      </c>
    </row>
    <row r="24" spans="2:11" x14ac:dyDescent="0.35">
      <c r="B24" s="99">
        <v>7.4631530773381183</v>
      </c>
      <c r="D24" s="283">
        <f t="shared" ca="1" si="6"/>
        <v>0.29017981014904981</v>
      </c>
      <c r="E24" s="284">
        <f>-'Transaction Summary'!$C$40</f>
        <v>-2886970.4072339423</v>
      </c>
      <c r="F24" s="285">
        <v>0</v>
      </c>
      <c r="G24" s="285">
        <v>0</v>
      </c>
      <c r="H24" s="285">
        <v>0</v>
      </c>
      <c r="I24" s="285">
        <f ca="1"/>
        <v>7999139.9989189571</v>
      </c>
    </row>
    <row r="25" spans="2:11" x14ac:dyDescent="0.35">
      <c r="B25" s="99">
        <v>7.9631530773381183</v>
      </c>
      <c r="D25" s="283">
        <f t="shared" ca="1" si="6"/>
        <v>0.3102025361123435</v>
      </c>
      <c r="E25" s="284">
        <f>-'Transaction Summary'!$C$40</f>
        <v>-2886970.4072339423</v>
      </c>
      <c r="F25" s="285">
        <v>0</v>
      </c>
      <c r="G25" s="285">
        <v>0</v>
      </c>
      <c r="H25" s="285">
        <v>0</v>
      </c>
      <c r="I25" s="285">
        <f ca="1"/>
        <v>8507384.7650837936</v>
      </c>
    </row>
    <row r="26" spans="2:11" x14ac:dyDescent="0.35">
      <c r="B26" s="99"/>
      <c r="D26" s="322" t="str">
        <f ca="1">_xlfn.FORMULATEXT(D25)</f>
        <v>=IRR(E25:I25)</v>
      </c>
      <c r="E26" s="321" t="str">
        <f ca="1">_xlfn.FORMULATEXT(E21)</f>
        <v>=-'Transaction Summary'!$C$40</v>
      </c>
      <c r="F26" s="285"/>
      <c r="G26" s="285"/>
      <c r="H26" s="285"/>
      <c r="I26" s="285"/>
      <c r="J26" s="100"/>
    </row>
    <row r="29" spans="2:11" ht="13.9" x14ac:dyDescent="0.4">
      <c r="B29" s="101" t="s">
        <v>203</v>
      </c>
      <c r="C29" s="88"/>
      <c r="D29" s="88"/>
      <c r="E29" s="88"/>
      <c r="F29" s="88"/>
      <c r="G29" s="88"/>
      <c r="H29" s="88"/>
      <c r="I29" s="88"/>
      <c r="J29" s="88"/>
    </row>
    <row r="31" spans="2:11" x14ac:dyDescent="0.35">
      <c r="B31" s="59" t="s">
        <v>202</v>
      </c>
      <c r="E31" s="268">
        <v>0.25</v>
      </c>
      <c r="F31" s="269">
        <f>E31-0.01</f>
        <v>0.24</v>
      </c>
      <c r="G31" s="269">
        <f t="shared" ref="G31:J31" si="7">F31-0.01</f>
        <v>0.22999999999999998</v>
      </c>
      <c r="H31" s="269">
        <f t="shared" si="7"/>
        <v>0.21999999999999997</v>
      </c>
      <c r="I31" s="269">
        <f t="shared" si="7"/>
        <v>0.20999999999999996</v>
      </c>
      <c r="J31" s="269">
        <f t="shared" si="7"/>
        <v>0.19999999999999996</v>
      </c>
      <c r="K31" s="60"/>
    </row>
    <row r="32" spans="2:11" x14ac:dyDescent="0.35">
      <c r="B32" s="59" t="s">
        <v>177</v>
      </c>
      <c r="D32" s="102"/>
      <c r="E32" s="103">
        <f ca="1">-PV(E31,4,0,$I$23)</f>
        <v>3068270.6873360877</v>
      </c>
      <c r="F32" s="103">
        <f t="shared" ref="F32:J32" ca="1" si="8">-PV(F31,4,0,$I$23)</f>
        <v>3168450.9072285071</v>
      </c>
      <c r="G32" s="103">
        <f t="shared" ca="1" si="8"/>
        <v>3272753.3594912258</v>
      </c>
      <c r="H32" s="103">
        <f t="shared" ca="1" si="8"/>
        <v>3381383.2763725412</v>
      </c>
      <c r="I32" s="103">
        <f t="shared" ca="1" si="8"/>
        <v>3494557.9104577065</v>
      </c>
      <c r="J32" s="103">
        <f t="shared" ca="1" si="8"/>
        <v>3612507.3460426894</v>
      </c>
      <c r="K32" s="103" t="str">
        <f ca="1">_xlfn.FORMULATEXT(E32)</f>
        <v>=-PV(E31,4,0,$I$23)</v>
      </c>
    </row>
    <row r="33" spans="2:11" x14ac:dyDescent="0.35">
      <c r="B33" s="59" t="s">
        <v>204</v>
      </c>
      <c r="D33" s="102"/>
      <c r="E33" s="103">
        <f ca="1">(E32+'Transaction Summary'!$C$37+'Transaction Summary'!$C$38-'Transaction Summary'!$C$39)/'Transaction Summary'!$C$11</f>
        <v>7410923.2490901444</v>
      </c>
      <c r="F33" s="103">
        <f ca="1">(F32+'Transaction Summary'!$C$37+'Transaction Summary'!$C$38-'Transaction Summary'!$C$39)/'Transaction Summary'!$C$11</f>
        <v>7511103.4689825643</v>
      </c>
      <c r="G33" s="103">
        <f ca="1">(G32+'Transaction Summary'!$C$37+'Transaction Summary'!$C$38-'Transaction Summary'!$C$39)/'Transaction Summary'!$C$11</f>
        <v>7615405.9212452825</v>
      </c>
      <c r="H33" s="103">
        <f ca="1">(H32+'Transaction Summary'!$C$37+'Transaction Summary'!$C$38-'Transaction Summary'!$C$39)/'Transaction Summary'!$C$11</f>
        <v>7724035.8381265979</v>
      </c>
      <c r="I33" s="103">
        <f ca="1">(I32+'Transaction Summary'!$C$37+'Transaction Summary'!$C$38-'Transaction Summary'!$C$39)/'Transaction Summary'!$C$11</f>
        <v>7837210.4722117633</v>
      </c>
      <c r="J33" s="103">
        <f ca="1">(J32+'Transaction Summary'!$C$37+'Transaction Summary'!$C$38-'Transaction Summary'!$C$39)/'Transaction Summary'!$C$11</f>
        <v>7955159.9077967461</v>
      </c>
      <c r="K33" s="103" t="str">
        <f ca="1">_xlfn.FORMULATEXT(E33)</f>
        <v>=(E32+'Transaction Summary'!$C$37+'Transaction Summary'!$C$38-'Transaction Summary'!$C$39)/'Transaction Summary'!$C$11</v>
      </c>
    </row>
    <row r="34" spans="2:11" x14ac:dyDescent="0.35">
      <c r="B34" s="59" t="s">
        <v>205</v>
      </c>
      <c r="E34" s="286">
        <f>'Transaction Summary'!$C$10</f>
        <v>59382</v>
      </c>
      <c r="F34" s="286">
        <f>'Transaction Summary'!$C$10</f>
        <v>59382</v>
      </c>
      <c r="G34" s="286">
        <f>'Transaction Summary'!$C$10</f>
        <v>59382</v>
      </c>
      <c r="H34" s="286">
        <f>'Transaction Summary'!$C$10</f>
        <v>59382</v>
      </c>
      <c r="I34" s="286">
        <f>'Transaction Summary'!$C$10</f>
        <v>59382</v>
      </c>
      <c r="J34" s="286">
        <f>'Transaction Summary'!$C$10</f>
        <v>59382</v>
      </c>
      <c r="K34" s="103" t="str">
        <f ca="1">_xlfn.FORMULATEXT(E34)</f>
        <v>='Transaction Summary'!$C$10</v>
      </c>
    </row>
    <row r="35" spans="2:11" x14ac:dyDescent="0.35">
      <c r="B35" s="59" t="s">
        <v>206</v>
      </c>
      <c r="E35" s="270">
        <f ca="1">E33/E34</f>
        <v>124.80083609663104</v>
      </c>
      <c r="F35" s="270">
        <f t="shared" ref="F35:J35" ca="1" si="9">F33/F34</f>
        <v>126.48788301139342</v>
      </c>
      <c r="G35" s="270">
        <f t="shared" ca="1" si="9"/>
        <v>128.24434881353412</v>
      </c>
      <c r="H35" s="270">
        <f t="shared" ca="1" si="9"/>
        <v>130.07368963872213</v>
      </c>
      <c r="I35" s="270">
        <f t="shared" ca="1" si="9"/>
        <v>131.97956404654209</v>
      </c>
      <c r="J35" s="270">
        <f t="shared" ca="1" si="9"/>
        <v>133.96584668412561</v>
      </c>
      <c r="K35" s="103" t="str">
        <f ca="1">_xlfn.FORMULATEXT(E35)</f>
        <v>=E33/E34</v>
      </c>
    </row>
    <row r="36" spans="2:11" x14ac:dyDescent="0.35">
      <c r="K36" s="103"/>
    </row>
    <row r="37" spans="2:11" x14ac:dyDescent="0.35">
      <c r="B37" s="59" t="s">
        <v>195</v>
      </c>
      <c r="E37" s="103">
        <f ca="1">E33+'Transaction Summary'!$H$13</f>
        <v>8022638.0189360864</v>
      </c>
      <c r="F37" s="103">
        <f ca="1">F33+'Transaction Summary'!$H$13</f>
        <v>8122818.2388285063</v>
      </c>
      <c r="G37" s="103">
        <f ca="1">G33+'Transaction Summary'!$H$13</f>
        <v>8227120.6910912246</v>
      </c>
      <c r="H37" s="103">
        <f ca="1">H33+'Transaction Summary'!$H$13</f>
        <v>8335750.60797254</v>
      </c>
      <c r="I37" s="103">
        <f ca="1">I33+'Transaction Summary'!$H$13</f>
        <v>8448925.2420577053</v>
      </c>
      <c r="J37" s="103">
        <f ca="1">J33+'Transaction Summary'!$H$13</f>
        <v>8566874.6776426882</v>
      </c>
      <c r="K37" s="103" t="str">
        <f t="shared" ref="K37:K38" ca="1" si="10">_xlfn.FORMULATEXT(E37)</f>
        <v>=E33+'Transaction Summary'!$H$13</v>
      </c>
    </row>
    <row r="38" spans="2:11" x14ac:dyDescent="0.35">
      <c r="B38" s="59" t="s">
        <v>207</v>
      </c>
      <c r="E38" s="271">
        <f ca="1">E37/'Transaction Summary'!$C$12</f>
        <v>8.3777954256133462</v>
      </c>
      <c r="F38" s="271">
        <f ca="1">F37/'Transaction Summary'!$C$12</f>
        <v>8.4824105641713423</v>
      </c>
      <c r="G38" s="271">
        <f ca="1">G37/'Transaction Summary'!$C$12</f>
        <v>8.5913304238713994</v>
      </c>
      <c r="H38" s="271">
        <f ca="1">H37/'Transaction Summary'!$C$12</f>
        <v>8.7047693224712059</v>
      </c>
      <c r="I38" s="271">
        <f ca="1">I37/'Transaction Summary'!$C$12</f>
        <v>8.8229541301985641</v>
      </c>
      <c r="J38" s="271">
        <f ca="1">J37/'Transaction Summary'!$C$12</f>
        <v>8.9461251170441844</v>
      </c>
      <c r="K38" s="103" t="str">
        <f t="shared" ca="1" si="10"/>
        <v>=E37/'Transaction Summary'!$C$12</v>
      </c>
    </row>
  </sheetData>
  <mergeCells count="1">
    <mergeCell ref="E5:I5"/>
  </mergeCells>
  <phoneticPr fontId="10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54614-E226-4949-9E44-EFD6DA7FC899}">
  <dimension ref="B1:AU44"/>
  <sheetViews>
    <sheetView showGridLines="0" zoomScale="70" zoomScaleNormal="70" workbookViewId="0">
      <selection activeCell="H14" sqref="H14"/>
    </sheetView>
  </sheetViews>
  <sheetFormatPr defaultColWidth="8.796875" defaultRowHeight="13.5" x14ac:dyDescent="0.35"/>
  <cols>
    <col min="1" max="1" width="2.46484375" style="106" customWidth="1"/>
    <col min="2" max="2" width="54.33203125" style="106" customWidth="1"/>
    <col min="3" max="3" width="10.796875" style="110" customWidth="1"/>
    <col min="4" max="6" width="12.796875" style="110" customWidth="1"/>
    <col min="7" max="7" width="15.33203125" style="110" bestFit="1" customWidth="1"/>
    <col min="8" max="8" width="15.796875" style="110" bestFit="1" customWidth="1"/>
    <col min="9" max="13" width="12.796875" style="110" customWidth="1"/>
    <col min="14" max="14" width="9.06640625" style="58" customWidth="1"/>
    <col min="15" max="15" width="34.59765625" style="58" customWidth="1"/>
    <col min="16" max="16" width="14.06640625" style="58" customWidth="1"/>
    <col min="17" max="17" width="17" style="58" customWidth="1"/>
    <col min="18" max="18" width="12.796875" style="106" customWidth="1"/>
    <col min="19" max="16384" width="8.796875" style="106"/>
  </cols>
  <sheetData>
    <row r="1" spans="2:47" ht="13.9" thickBot="1" x14ac:dyDescent="0.4">
      <c r="B1" s="104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</row>
    <row r="2" spans="2:47" ht="14.25" thickBot="1" x14ac:dyDescent="0.45">
      <c r="B2" s="107" t="str">
        <f>'Assumptions '!C5&amp;" Balance Sheet"</f>
        <v>CROCS, INC. Balance Sheet</v>
      </c>
      <c r="C2" s="108"/>
      <c r="D2" s="108"/>
      <c r="E2" s="108"/>
      <c r="F2" s="108"/>
      <c r="G2" s="108"/>
      <c r="H2" s="108"/>
      <c r="I2" s="108"/>
      <c r="J2" s="108"/>
      <c r="K2" s="105"/>
      <c r="L2" s="105"/>
      <c r="M2" s="105"/>
    </row>
    <row r="3" spans="2:47" ht="14.25" customHeight="1" x14ac:dyDescent="0.4">
      <c r="B3" s="109" t="str">
        <f>'Assumptions '!B3</f>
        <v>(Dollars in Thousands Except Per Share Data)</v>
      </c>
    </row>
    <row r="4" spans="2:47" ht="14.25" customHeight="1" x14ac:dyDescent="0.35">
      <c r="B4" s="14" t="s">
        <v>10</v>
      </c>
    </row>
    <row r="5" spans="2:47" ht="14.25" customHeight="1" x14ac:dyDescent="0.4">
      <c r="B5" s="111"/>
      <c r="I5" s="112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</row>
    <row r="6" spans="2:47" s="118" customFormat="1" ht="14.25" customHeight="1" thickBot="1" x14ac:dyDescent="0.45">
      <c r="B6" s="113" t="s">
        <v>32</v>
      </c>
      <c r="C6" s="114"/>
      <c r="D6" s="115">
        <f>E6-1</f>
        <v>2023</v>
      </c>
      <c r="E6" s="115">
        <f>I6-1</f>
        <v>2024</v>
      </c>
      <c r="F6" s="115">
        <v>2025</v>
      </c>
      <c r="G6" s="115" t="s">
        <v>226</v>
      </c>
      <c r="H6" s="115" t="s">
        <v>227</v>
      </c>
      <c r="I6" s="116">
        <f>'Assumptions '!D12</f>
        <v>2025</v>
      </c>
      <c r="J6" s="116">
        <f>'Assumptions '!E12</f>
        <v>2026</v>
      </c>
      <c r="K6" s="116">
        <f>'Assumptions '!F12</f>
        <v>2027</v>
      </c>
      <c r="L6" s="116">
        <f>'Assumptions '!G12</f>
        <v>2028</v>
      </c>
      <c r="M6" s="116">
        <f>'Assumptions '!H12</f>
        <v>2029</v>
      </c>
      <c r="N6" s="58"/>
      <c r="O6" s="18"/>
      <c r="P6" s="18"/>
      <c r="Q6" s="18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17"/>
      <c r="AG6" s="117"/>
      <c r="AH6" s="117"/>
      <c r="AI6" s="117"/>
      <c r="AJ6" s="117"/>
      <c r="AK6" s="117"/>
      <c r="AL6" s="117"/>
      <c r="AM6" s="117"/>
      <c r="AN6" s="117"/>
      <c r="AO6" s="117"/>
      <c r="AP6" s="117"/>
      <c r="AQ6" s="117"/>
      <c r="AR6" s="117"/>
      <c r="AS6" s="117"/>
      <c r="AT6" s="117"/>
      <c r="AU6" s="117"/>
    </row>
    <row r="7" spans="2:47" s="122" customFormat="1" ht="14.25" customHeight="1" x14ac:dyDescent="0.4">
      <c r="B7" s="42"/>
      <c r="C7" s="119"/>
      <c r="D7" s="119"/>
      <c r="E7" s="119"/>
      <c r="F7" s="119"/>
      <c r="G7" s="119"/>
      <c r="H7" s="119"/>
      <c r="I7" s="120"/>
      <c r="J7" s="120"/>
      <c r="K7" s="120"/>
      <c r="L7" s="120"/>
      <c r="M7" s="120"/>
      <c r="N7" s="2"/>
      <c r="O7" s="18"/>
      <c r="P7" s="18"/>
      <c r="Q7" s="18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</row>
    <row r="8" spans="2:47" ht="14.25" customHeight="1" x14ac:dyDescent="0.35">
      <c r="B8" s="45" t="s">
        <v>16</v>
      </c>
      <c r="C8" s="123"/>
      <c r="D8" s="124">
        <v>149288</v>
      </c>
      <c r="E8" s="124">
        <v>180485</v>
      </c>
      <c r="F8" s="124">
        <v>512223.3801540581</v>
      </c>
      <c r="G8" s="324">
        <f>-F8</f>
        <v>-512223.3801540581</v>
      </c>
      <c r="H8" s="232"/>
      <c r="I8" s="125">
        <f>SUM(F8:H8)</f>
        <v>0</v>
      </c>
      <c r="J8" s="125">
        <f ca="1">'Statement of Cash Flow'!E37</f>
        <v>521650.66009038535</v>
      </c>
      <c r="K8" s="125">
        <f ca="1">'Statement of Cash Flow'!F37</f>
        <v>996749.41747455089</v>
      </c>
      <c r="L8" s="125">
        <f ca="1">'Statement of Cash Flow'!G37</f>
        <v>1516664.9750068316</v>
      </c>
      <c r="M8" s="125">
        <f ca="1">'Statement of Cash Flow'!H37</f>
        <v>2035383.3781227686</v>
      </c>
      <c r="N8" s="126" t="str">
        <f ca="1">_xlfn.FORMULATEXT(G8)</f>
        <v>=-F8</v>
      </c>
      <c r="O8" s="126"/>
      <c r="P8" s="75"/>
      <c r="Q8" s="75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</row>
    <row r="9" spans="2:47" ht="14.25" customHeight="1" x14ac:dyDescent="0.35">
      <c r="B9" s="45" t="s">
        <v>33</v>
      </c>
      <c r="C9" s="79"/>
      <c r="D9" s="77">
        <f>305747+21071</f>
        <v>326818</v>
      </c>
      <c r="E9" s="77">
        <f>257657+22204</f>
        <v>279861</v>
      </c>
      <c r="F9" s="77">
        <v>313730.08841176628</v>
      </c>
      <c r="G9" s="233"/>
      <c r="H9" s="233"/>
      <c r="I9" s="83">
        <f t="shared" ref="I9:I15" si="0">SUM(F9:H9)</f>
        <v>313730.08841176628</v>
      </c>
      <c r="J9" s="83">
        <f>'WC Schedule'!G12</f>
        <v>303371.34649489075</v>
      </c>
      <c r="K9" s="83">
        <f>'WC Schedule'!H12</f>
        <v>315571.62812809378</v>
      </c>
      <c r="L9" s="83">
        <f>'WC Schedule'!I12</f>
        <v>316438.87571099296</v>
      </c>
      <c r="M9" s="83">
        <f>'WC Schedule'!J12</f>
        <v>323175.6965776069</v>
      </c>
      <c r="O9" s="18"/>
      <c r="P9" s="76"/>
      <c r="Q9" s="76"/>
      <c r="R9" s="18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</row>
    <row r="10" spans="2:47" ht="14.25" customHeight="1" x14ac:dyDescent="0.35">
      <c r="B10" s="45" t="s">
        <v>34</v>
      </c>
      <c r="C10" s="79"/>
      <c r="D10" s="78">
        <v>385054</v>
      </c>
      <c r="E10" s="78">
        <v>356254</v>
      </c>
      <c r="F10" s="78">
        <v>403108.20667237119</v>
      </c>
      <c r="G10" s="232"/>
      <c r="H10" s="232"/>
      <c r="I10" s="83">
        <f t="shared" si="0"/>
        <v>403108.20667237119</v>
      </c>
      <c r="J10" s="83">
        <f>'WC Schedule'!G13</f>
        <v>404793.99172318191</v>
      </c>
      <c r="K10" s="83">
        <f>'WC Schedule'!H13</f>
        <v>413084.78662044212</v>
      </c>
      <c r="L10" s="83">
        <f>'WC Schedule'!I13</f>
        <v>418176.02332094155</v>
      </c>
      <c r="M10" s="83">
        <f>'WC Schedule'!J13</f>
        <v>425046.35408766195</v>
      </c>
      <c r="O10" s="18"/>
      <c r="P10" s="76"/>
      <c r="Q10" s="76"/>
      <c r="R10" s="18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0"/>
      <c r="AP10" s="110"/>
      <c r="AQ10" s="110"/>
      <c r="AR10" s="110"/>
      <c r="AS10" s="110"/>
      <c r="AT10" s="110"/>
      <c r="AU10" s="110"/>
    </row>
    <row r="11" spans="2:47" ht="14.25" customHeight="1" x14ac:dyDescent="0.35">
      <c r="B11" s="45" t="s">
        <v>136</v>
      </c>
      <c r="C11" s="79"/>
      <c r="D11" s="78">
        <v>45129</v>
      </c>
      <c r="E11" s="78">
        <v>51623</v>
      </c>
      <c r="F11" s="78">
        <v>49907.925815714167</v>
      </c>
      <c r="G11" s="232"/>
      <c r="H11" s="232"/>
      <c r="I11" s="83">
        <f t="shared" si="0"/>
        <v>49907.925815714167</v>
      </c>
      <c r="J11" s="83">
        <f>'WC Schedule'!G14</f>
        <v>51918.740296920107</v>
      </c>
      <c r="K11" s="83">
        <f>'WC Schedule'!H14</f>
        <v>52057.686144929037</v>
      </c>
      <c r="L11" s="83">
        <f>'WC Schedule'!I14</f>
        <v>53165.948027813654</v>
      </c>
      <c r="M11" s="83">
        <f>'WC Schedule'!J14</f>
        <v>53801.947418658739</v>
      </c>
      <c r="O11" s="18"/>
      <c r="P11" s="127"/>
      <c r="Q11" s="76"/>
      <c r="R11" s="18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0"/>
      <c r="AQ11" s="110"/>
      <c r="AR11" s="110"/>
      <c r="AS11" s="110"/>
      <c r="AT11" s="110"/>
      <c r="AU11" s="110"/>
    </row>
    <row r="12" spans="2:47" ht="14.25" customHeight="1" x14ac:dyDescent="0.35">
      <c r="B12" s="128" t="s">
        <v>21</v>
      </c>
      <c r="C12" s="79"/>
      <c r="D12" s="79">
        <f>31446+4413</f>
        <v>35859</v>
      </c>
      <c r="E12" s="79">
        <f>24207+4046</f>
        <v>28253</v>
      </c>
      <c r="F12" s="79">
        <v>33177.707439876605</v>
      </c>
      <c r="G12" s="234"/>
      <c r="H12" s="234"/>
      <c r="I12" s="83">
        <f t="shared" si="0"/>
        <v>33177.707439876605</v>
      </c>
      <c r="J12" s="83">
        <f>'WC Schedule'!G15</f>
        <v>31390.491197368239</v>
      </c>
      <c r="K12" s="83">
        <f>'WC Schedule'!H15</f>
        <v>33021.383153639668</v>
      </c>
      <c r="L12" s="83">
        <f>'WC Schedule'!I15</f>
        <v>32929.639523806058</v>
      </c>
      <c r="M12" s="83">
        <f>'WC Schedule'!J15</f>
        <v>33724.451142095008</v>
      </c>
      <c r="O12" s="18"/>
      <c r="P12" s="76"/>
      <c r="Q12" s="76"/>
      <c r="R12" s="75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0"/>
      <c r="AQ12" s="110"/>
      <c r="AR12" s="110"/>
      <c r="AS12" s="110"/>
      <c r="AT12" s="110"/>
      <c r="AU12" s="110"/>
    </row>
    <row r="13" spans="2:47" ht="14.25" customHeight="1" x14ac:dyDescent="0.35">
      <c r="B13" s="45" t="s">
        <v>71</v>
      </c>
      <c r="C13" s="79"/>
      <c r="D13" s="77">
        <v>238315</v>
      </c>
      <c r="E13" s="77">
        <v>244335</v>
      </c>
      <c r="F13" s="77">
        <v>282885.71714599669</v>
      </c>
      <c r="G13" s="233"/>
      <c r="H13" s="233"/>
      <c r="I13" s="83">
        <f t="shared" si="0"/>
        <v>282885.71714599669</v>
      </c>
      <c r="J13" s="83">
        <f>'PPE Schedule'!I10</f>
        <v>302407.68188197271</v>
      </c>
      <c r="K13" s="83">
        <f>'PPE Schedule'!J10</f>
        <v>321583.85223484703</v>
      </c>
      <c r="L13" s="83">
        <f>'PPE Schedule'!K10</f>
        <v>330785.43550426513</v>
      </c>
      <c r="M13" s="83">
        <f>'PPE Schedule'!L10</f>
        <v>334749.68616642995</v>
      </c>
      <c r="N13" s="129"/>
      <c r="O13" s="18"/>
      <c r="P13" s="76"/>
      <c r="Q13" s="76"/>
      <c r="R13" s="76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0"/>
      <c r="AQ13" s="110"/>
      <c r="AR13" s="110"/>
      <c r="AS13" s="110"/>
      <c r="AT13" s="110"/>
      <c r="AU13" s="110"/>
    </row>
    <row r="14" spans="2:47" ht="14.25" customHeight="1" x14ac:dyDescent="0.35">
      <c r="B14" s="8" t="s">
        <v>129</v>
      </c>
      <c r="C14" s="79"/>
      <c r="D14" s="77">
        <f>1792562+287440</f>
        <v>2080002</v>
      </c>
      <c r="E14" s="77">
        <f>1777080+307228</f>
        <v>2084308</v>
      </c>
      <c r="F14" s="77">
        <v>2081754.99</v>
      </c>
      <c r="G14" s="233"/>
      <c r="H14" s="233"/>
      <c r="I14" s="83">
        <f t="shared" si="0"/>
        <v>2081754.99</v>
      </c>
      <c r="J14" s="83">
        <f>'Assumptions '!E44*'Income Statement '!G9</f>
        <v>2112966.7988999998</v>
      </c>
      <c r="K14" s="83">
        <f>'Assumptions '!F44*'Income Statement '!H9</f>
        <v>2144698.6110690003</v>
      </c>
      <c r="L14" s="83">
        <f>'Assumptions '!G44*'Income Statement '!I9</f>
        <v>2176959.7842432903</v>
      </c>
      <c r="M14" s="83">
        <f>'Assumptions '!H44*'Income Statement '!J9</f>
        <v>2209759.8528905949</v>
      </c>
      <c r="N14" s="129"/>
      <c r="O14" s="18"/>
      <c r="P14" s="76"/>
      <c r="Q14" s="76"/>
      <c r="R14" s="76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0"/>
      <c r="AQ14" s="110"/>
      <c r="AR14" s="110"/>
      <c r="AS14" s="110"/>
      <c r="AT14" s="110"/>
      <c r="AU14" s="110"/>
    </row>
    <row r="15" spans="2:47" ht="14.25" customHeight="1" x14ac:dyDescent="0.35">
      <c r="B15" s="45" t="s">
        <v>82</v>
      </c>
      <c r="C15" s="79"/>
      <c r="D15" s="130">
        <f>711588+667972+3807+2</f>
        <v>1383369</v>
      </c>
      <c r="E15" s="79">
        <f>711491+872350+3193</f>
        <v>1587034</v>
      </c>
      <c r="F15" s="79">
        <v>1665403.9920000001</v>
      </c>
      <c r="G15" s="234"/>
      <c r="H15" s="234"/>
      <c r="I15" s="83">
        <f t="shared" si="0"/>
        <v>1665403.9920000001</v>
      </c>
      <c r="J15" s="83">
        <f>'Assumptions '!E45*'Income Statement '!G9</f>
        <v>1690373.43912</v>
      </c>
      <c r="K15" s="83">
        <f>'Assumptions '!F45*'Income Statement '!H9</f>
        <v>1715758.8888552003</v>
      </c>
      <c r="L15" s="83">
        <f>'Assumptions '!G45*'Income Statement '!I9</f>
        <v>1741567.8273946324</v>
      </c>
      <c r="M15" s="83">
        <f>'Assumptions '!H45*'Income Statement '!J9</f>
        <v>1767807.8823124759</v>
      </c>
      <c r="N15" s="129"/>
      <c r="O15" s="18"/>
      <c r="P15" s="76"/>
      <c r="Q15" s="76"/>
      <c r="R15" s="18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0"/>
      <c r="AQ15" s="110"/>
      <c r="AR15" s="110"/>
      <c r="AS15" s="110"/>
      <c r="AT15" s="110"/>
      <c r="AU15" s="110"/>
    </row>
    <row r="16" spans="2:47" ht="14.25" customHeight="1" x14ac:dyDescent="0.35">
      <c r="G16" s="235"/>
      <c r="H16" s="235"/>
      <c r="N16" s="131"/>
      <c r="O16" s="18"/>
      <c r="P16" s="76"/>
      <c r="Q16" s="76"/>
      <c r="R16" s="76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</row>
    <row r="17" spans="2:47" ht="14.25" customHeight="1" thickBot="1" x14ac:dyDescent="0.45">
      <c r="B17" s="132" t="s">
        <v>35</v>
      </c>
      <c r="C17" s="133"/>
      <c r="D17" s="134">
        <f t="shared" ref="D17:M17" si="1">SUM(D8:D15)</f>
        <v>4643834</v>
      </c>
      <c r="E17" s="134">
        <f t="shared" si="1"/>
        <v>4812153</v>
      </c>
      <c r="F17" s="134">
        <v>5342192.0076397825</v>
      </c>
      <c r="G17" s="236"/>
      <c r="H17" s="236"/>
      <c r="I17" s="135">
        <f>SUM(I8:I15)</f>
        <v>4829968.6274857251</v>
      </c>
      <c r="J17" s="135">
        <f t="shared" ca="1" si="1"/>
        <v>5418873.149704719</v>
      </c>
      <c r="K17" s="135">
        <f t="shared" ca="1" si="1"/>
        <v>5992526.2536807032</v>
      </c>
      <c r="L17" s="135">
        <f t="shared" ca="1" si="1"/>
        <v>6586688.5087325741</v>
      </c>
      <c r="M17" s="135">
        <f t="shared" ca="1" si="1"/>
        <v>7183449.2487182915</v>
      </c>
      <c r="N17" s="136"/>
      <c r="O17" s="18"/>
      <c r="P17" s="76"/>
      <c r="Q17" s="76"/>
      <c r="R17" s="76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0"/>
      <c r="AQ17" s="110"/>
      <c r="AR17" s="110"/>
      <c r="AS17" s="110"/>
      <c r="AT17" s="110"/>
      <c r="AU17" s="110"/>
    </row>
    <row r="18" spans="2:47" ht="14.25" customHeight="1" thickTop="1" x14ac:dyDescent="0.35">
      <c r="B18" s="137"/>
      <c r="C18" s="138"/>
      <c r="D18" s="139"/>
      <c r="E18" s="139"/>
      <c r="F18" s="138"/>
      <c r="G18" s="237"/>
      <c r="H18" s="237"/>
      <c r="I18" s="58"/>
      <c r="J18" s="58"/>
      <c r="K18" s="58"/>
      <c r="L18" s="58"/>
      <c r="M18" s="58"/>
      <c r="N18" s="136"/>
      <c r="O18" s="18"/>
      <c r="P18" s="76"/>
      <c r="Q18" s="76"/>
      <c r="R18" s="76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  <c r="AP18" s="110"/>
      <c r="AQ18" s="110"/>
      <c r="AR18" s="110"/>
      <c r="AS18" s="110"/>
      <c r="AT18" s="110"/>
      <c r="AU18" s="110"/>
    </row>
    <row r="19" spans="2:47" s="118" customFormat="1" ht="14.25" customHeight="1" x14ac:dyDescent="0.4">
      <c r="B19" s="113" t="s">
        <v>36</v>
      </c>
      <c r="C19" s="140"/>
      <c r="D19" s="138"/>
      <c r="E19" s="138"/>
      <c r="F19" s="138"/>
      <c r="G19" s="237"/>
      <c r="H19" s="237"/>
      <c r="I19" s="58"/>
      <c r="J19" s="58"/>
      <c r="K19" s="58"/>
      <c r="L19" s="58"/>
      <c r="M19" s="58"/>
      <c r="N19" s="58"/>
      <c r="O19" s="18"/>
      <c r="P19" s="76"/>
      <c r="Q19" s="76"/>
      <c r="R19" s="76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  <c r="AE19" s="141"/>
      <c r="AF19" s="141"/>
      <c r="AG19" s="141"/>
      <c r="AH19" s="141"/>
      <c r="AI19" s="141"/>
      <c r="AJ19" s="141"/>
      <c r="AK19" s="141"/>
      <c r="AL19" s="141"/>
      <c r="AM19" s="141"/>
      <c r="AN19" s="141"/>
      <c r="AO19" s="141"/>
      <c r="AP19" s="141"/>
      <c r="AQ19" s="141"/>
      <c r="AR19" s="141"/>
      <c r="AS19" s="141"/>
      <c r="AT19" s="141"/>
      <c r="AU19" s="141"/>
    </row>
    <row r="20" spans="2:47" ht="14.25" customHeight="1" x14ac:dyDescent="0.4">
      <c r="B20" s="142" t="s">
        <v>24</v>
      </c>
      <c r="C20" s="143"/>
      <c r="D20" s="144"/>
      <c r="E20" s="144"/>
      <c r="F20" s="144"/>
      <c r="G20" s="238"/>
      <c r="H20" s="238"/>
      <c r="I20" s="58"/>
      <c r="J20" s="58"/>
      <c r="K20" s="58"/>
      <c r="L20" s="58"/>
      <c r="M20" s="58"/>
      <c r="O20" s="18"/>
      <c r="P20" s="18"/>
      <c r="Q20" s="18"/>
      <c r="R20" s="76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  <c r="AS20" s="110"/>
      <c r="AT20" s="110"/>
      <c r="AU20" s="110"/>
    </row>
    <row r="21" spans="2:47" ht="14.25" customHeight="1" x14ac:dyDescent="0.35">
      <c r="B21" s="45" t="s">
        <v>37</v>
      </c>
      <c r="C21" s="79"/>
      <c r="D21" s="77">
        <v>260978</v>
      </c>
      <c r="E21" s="77">
        <v>264901</v>
      </c>
      <c r="F21" s="77">
        <v>286195.03217453801</v>
      </c>
      <c r="G21" s="233"/>
      <c r="H21" s="233"/>
      <c r="I21" s="83">
        <f>SUM(F21:H21)</f>
        <v>286195.03217453801</v>
      </c>
      <c r="J21" s="83">
        <f>'WC Schedule'!G18</f>
        <v>294119.74792910478</v>
      </c>
      <c r="K21" s="83">
        <f>'WC Schedule'!H18</f>
        <v>296692.55921093019</v>
      </c>
      <c r="L21" s="83">
        <f>'WC Schedule'!I18</f>
        <v>302091.45353711833</v>
      </c>
      <c r="M21" s="83">
        <f>'WC Schedule'!J18</f>
        <v>306168.00909304857</v>
      </c>
      <c r="N21" s="145"/>
      <c r="O21" s="18"/>
      <c r="P21" s="18"/>
      <c r="Q21" s="18"/>
      <c r="R21" s="76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0"/>
      <c r="AQ21" s="110"/>
      <c r="AR21" s="110"/>
      <c r="AS21" s="110"/>
      <c r="AT21" s="110"/>
      <c r="AU21" s="110"/>
    </row>
    <row r="22" spans="2:47" ht="14.25" customHeight="1" x14ac:dyDescent="0.35">
      <c r="B22" s="45" t="s">
        <v>72</v>
      </c>
      <c r="C22" s="79"/>
      <c r="D22" s="77">
        <f>285771+65952+62267</f>
        <v>413990</v>
      </c>
      <c r="E22" s="77">
        <f>298068+108688+68551</f>
        <v>475307</v>
      </c>
      <c r="F22" s="77">
        <v>458714.64711670962</v>
      </c>
      <c r="G22" s="233"/>
      <c r="H22" s="233"/>
      <c r="I22" s="83">
        <f>SUM(F22:H22)</f>
        <v>458714.64711670962</v>
      </c>
      <c r="J22" s="83">
        <f>'WC Schedule'!G19</f>
        <v>477623.35592101881</v>
      </c>
      <c r="K22" s="83">
        <f>'WC Schedule'!H19</f>
        <v>478690.20602874964</v>
      </c>
      <c r="L22" s="83">
        <f>'WC Schedule'!I19</f>
        <v>488989.69233951776</v>
      </c>
      <c r="M22" s="83">
        <f>'WC Schedule'!J19</f>
        <v>494784.46795125579</v>
      </c>
      <c r="N22" s="129"/>
      <c r="O22" s="18"/>
      <c r="P22" s="18"/>
      <c r="Q22" s="18"/>
      <c r="R22" s="76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  <c r="AO22" s="110"/>
      <c r="AP22" s="110"/>
      <c r="AQ22" s="110"/>
      <c r="AR22" s="110"/>
      <c r="AS22" s="110"/>
      <c r="AT22" s="110"/>
      <c r="AU22" s="110"/>
    </row>
    <row r="23" spans="2:47" ht="14.25" customHeight="1" x14ac:dyDescent="0.35">
      <c r="B23" s="45" t="s">
        <v>190</v>
      </c>
      <c r="C23" s="79"/>
      <c r="D23" s="77">
        <v>23328</v>
      </c>
      <c r="E23" s="146">
        <v>0</v>
      </c>
      <c r="F23" s="146">
        <v>23000</v>
      </c>
      <c r="G23" s="323">
        <f>-F23</f>
        <v>-23000</v>
      </c>
      <c r="H23" s="323">
        <f>'Transaction Summary'!C56</f>
        <v>547204.16879999987</v>
      </c>
      <c r="I23" s="147">
        <f>SUM(F23:H23)</f>
        <v>547204.16879999987</v>
      </c>
      <c r="J23" s="83">
        <f>MIN('Transaction Summary'!$C$55,I28)</f>
        <v>547204.16879999987</v>
      </c>
      <c r="K23" s="83">
        <f>MIN('Transaction Summary'!$C$55,J28)</f>
        <v>547204.16879999987</v>
      </c>
      <c r="L23" s="83">
        <f>MIN('Transaction Summary'!$C$55,K28)</f>
        <v>547204.16879999987</v>
      </c>
      <c r="M23" s="83">
        <f>MIN('Transaction Summary'!$C$55,L28)</f>
        <v>547204.16879999987</v>
      </c>
      <c r="N23" s="126" t="str">
        <f ca="1">_xlfn.FORMULATEXT(G23)</f>
        <v>=-F23</v>
      </c>
      <c r="O23" s="126" t="str">
        <f ca="1">_xlfn.FORMULATEXT(H23)</f>
        <v>='Transaction Summary'!C56</v>
      </c>
      <c r="P23" s="18"/>
      <c r="Q23" s="18"/>
      <c r="R23" s="76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0"/>
      <c r="AO23" s="110"/>
      <c r="AP23" s="110"/>
      <c r="AQ23" s="110"/>
      <c r="AR23" s="110"/>
      <c r="AS23" s="110"/>
      <c r="AT23" s="110"/>
      <c r="AU23" s="110"/>
    </row>
    <row r="24" spans="2:47" ht="14.25" customHeight="1" x14ac:dyDescent="0.4">
      <c r="B24" s="142" t="s">
        <v>38</v>
      </c>
      <c r="C24" s="79"/>
      <c r="D24" s="148">
        <f t="shared" ref="D24:M24" si="2">SUM(D21:D23)</f>
        <v>698296</v>
      </c>
      <c r="E24" s="148">
        <f t="shared" si="2"/>
        <v>740208</v>
      </c>
      <c r="F24" s="148">
        <v>767909.67929124762</v>
      </c>
      <c r="G24" s="239"/>
      <c r="H24" s="239"/>
      <c r="I24" s="83">
        <f>SUM(I21:I23)</f>
        <v>1292113.8480912475</v>
      </c>
      <c r="J24" s="149">
        <f t="shared" si="2"/>
        <v>1318947.2726501236</v>
      </c>
      <c r="K24" s="149">
        <f t="shared" si="2"/>
        <v>1322586.9340396798</v>
      </c>
      <c r="L24" s="149">
        <f t="shared" si="2"/>
        <v>1338285.3146766359</v>
      </c>
      <c r="M24" s="149">
        <f t="shared" si="2"/>
        <v>1348156.6458443042</v>
      </c>
      <c r="N24" s="129"/>
      <c r="O24" s="18"/>
      <c r="P24" s="76"/>
      <c r="Q24" s="76"/>
      <c r="R24" s="76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0"/>
      <c r="AO24" s="110"/>
      <c r="AP24" s="110"/>
      <c r="AQ24" s="110"/>
      <c r="AR24" s="110"/>
      <c r="AS24" s="110"/>
      <c r="AT24" s="110"/>
      <c r="AU24" s="110"/>
    </row>
    <row r="25" spans="2:47" ht="14.25" customHeight="1" x14ac:dyDescent="0.35">
      <c r="B25" s="150"/>
      <c r="C25" s="143"/>
      <c r="D25" s="144"/>
      <c r="E25" s="144"/>
      <c r="F25" s="144"/>
      <c r="G25" s="238"/>
      <c r="H25" s="238"/>
      <c r="I25" s="58"/>
      <c r="J25" s="58"/>
      <c r="K25" s="58"/>
      <c r="L25" s="58"/>
      <c r="M25" s="58"/>
      <c r="N25" s="129"/>
      <c r="O25" s="18"/>
      <c r="P25" s="18"/>
      <c r="Q25" s="18"/>
      <c r="R25" s="76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  <c r="AO25" s="110"/>
      <c r="AP25" s="110"/>
      <c r="AQ25" s="110"/>
      <c r="AR25" s="110"/>
      <c r="AS25" s="110"/>
      <c r="AT25" s="110"/>
      <c r="AU25" s="110"/>
    </row>
    <row r="26" spans="2:47" ht="14.25" customHeight="1" x14ac:dyDescent="0.4">
      <c r="B26" s="132" t="s">
        <v>27</v>
      </c>
      <c r="C26" s="143"/>
      <c r="D26" s="144"/>
      <c r="E26" s="144"/>
      <c r="F26" s="144"/>
      <c r="G26" s="238"/>
      <c r="H26" s="238"/>
      <c r="I26" s="58"/>
      <c r="J26" s="58"/>
      <c r="K26" s="58"/>
      <c r="L26" s="58"/>
      <c r="M26" s="58"/>
      <c r="N26" s="129"/>
      <c r="O26" s="18"/>
      <c r="P26" s="76"/>
      <c r="Q26" s="76"/>
      <c r="R26" s="76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0"/>
      <c r="AQ26" s="110"/>
      <c r="AR26" s="110"/>
      <c r="AS26" s="110"/>
      <c r="AT26" s="110"/>
      <c r="AU26" s="110"/>
    </row>
    <row r="27" spans="2:47" ht="14.25" customHeight="1" x14ac:dyDescent="0.35">
      <c r="B27" s="45" t="s">
        <v>141</v>
      </c>
      <c r="C27" s="138"/>
      <c r="D27" s="77">
        <v>565171</v>
      </c>
      <c r="E27" s="77">
        <v>595434</v>
      </c>
      <c r="F27" s="77">
        <v>582891.39720000001</v>
      </c>
      <c r="G27" s="233"/>
      <c r="H27" s="233"/>
      <c r="I27" s="83">
        <f>SUM(F27:H27)</f>
        <v>582891.39720000001</v>
      </c>
      <c r="J27" s="83">
        <f>'Assumptions '!E57*'Income Statement '!G9</f>
        <v>591630.70369200001</v>
      </c>
      <c r="K27" s="83">
        <f>'Assumptions '!F57*'Income Statement '!H9</f>
        <v>600515.61109932011</v>
      </c>
      <c r="L27" s="83">
        <f>'Assumptions '!G57*'Income Statement '!I9</f>
        <v>609548.7395881213</v>
      </c>
      <c r="M27" s="83">
        <f>'Assumptions '!H57*'Income Statement '!J9</f>
        <v>618732.75880936661</v>
      </c>
      <c r="N27" s="129"/>
      <c r="O27" s="18"/>
      <c r="P27" s="76"/>
      <c r="Q27" s="76"/>
      <c r="R27" s="76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</row>
    <row r="28" spans="2:47" ht="14.25" customHeight="1" x14ac:dyDescent="0.35">
      <c r="B28" s="45" t="s">
        <v>102</v>
      </c>
      <c r="C28" s="79"/>
      <c r="D28" s="110">
        <v>1640996</v>
      </c>
      <c r="E28" s="110">
        <v>1349339</v>
      </c>
      <c r="F28" s="110">
        <v>1100938.1499999999</v>
      </c>
      <c r="G28" s="235">
        <f>-F28</f>
        <v>-1100938.1499999999</v>
      </c>
      <c r="H28" s="235">
        <f>'Transaction Summary'!C57-'Transaction Summary'!C30</f>
        <v>3264072.8668919997</v>
      </c>
      <c r="I28" s="83">
        <f>SUM(F28:H28)</f>
        <v>3264072.8668919997</v>
      </c>
      <c r="J28" s="83">
        <f>'Debt &amp; Equity Schedule'!F33-'Balance Sheet '!J23</f>
        <v>2716868.6980919996</v>
      </c>
      <c r="K28" s="83">
        <f>'Debt &amp; Equity Schedule'!G33-'Balance Sheet '!K23</f>
        <v>2169664.5292919995</v>
      </c>
      <c r="L28" s="83">
        <f>'Debt &amp; Equity Schedule'!H33-'Balance Sheet '!L23</f>
        <v>1622460.3604919997</v>
      </c>
      <c r="M28" s="83">
        <f>'Debt &amp; Equity Schedule'!I33-'Balance Sheet '!M23</f>
        <v>1075256.1916919998</v>
      </c>
      <c r="N28" s="126" t="str">
        <f t="shared" ref="N28:N29" ca="1" si="3">_xlfn.FORMULATEXT(G28)</f>
        <v>=-F28</v>
      </c>
      <c r="O28" s="126" t="str">
        <f ca="1">_xlfn.FORMULATEXT(H28)</f>
        <v>='Transaction Summary'!C57-'Transaction Summary'!C30</v>
      </c>
      <c r="P28" s="76"/>
      <c r="Q28" s="76"/>
      <c r="R28" s="75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0"/>
      <c r="AQ28" s="110"/>
      <c r="AR28" s="110"/>
      <c r="AS28" s="110"/>
      <c r="AT28" s="110"/>
      <c r="AU28" s="110"/>
    </row>
    <row r="29" spans="2:47" ht="14.25" customHeight="1" x14ac:dyDescent="0.35">
      <c r="B29" s="45" t="s">
        <v>73</v>
      </c>
      <c r="C29" s="138"/>
      <c r="D29" s="138">
        <v>0</v>
      </c>
      <c r="E29" s="138">
        <v>0</v>
      </c>
      <c r="F29" s="138">
        <v>0</v>
      </c>
      <c r="G29" s="325">
        <f>-F29</f>
        <v>0</v>
      </c>
      <c r="H29" s="237"/>
      <c r="I29" s="83">
        <f ca="1">'Debt &amp; Equity Schedule'!E23</f>
        <v>0</v>
      </c>
      <c r="J29" s="83">
        <f ca="1">'Debt &amp; Equity Schedule'!F23</f>
        <v>0</v>
      </c>
      <c r="K29" s="83">
        <f ca="1">'Debt &amp; Equity Schedule'!G23</f>
        <v>0</v>
      </c>
      <c r="L29" s="83">
        <f ca="1">'Debt &amp; Equity Schedule'!H23</f>
        <v>0</v>
      </c>
      <c r="M29" s="83">
        <f ca="1">'Debt &amp; Equity Schedule'!I23</f>
        <v>0</v>
      </c>
      <c r="N29" s="126" t="str">
        <f t="shared" ca="1" si="3"/>
        <v>=-F29</v>
      </c>
      <c r="O29" s="18"/>
      <c r="P29" s="76"/>
      <c r="Q29" s="76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  <c r="AP29" s="110"/>
      <c r="AQ29" s="110"/>
      <c r="AR29" s="110"/>
      <c r="AS29" s="110"/>
      <c r="AT29" s="110"/>
      <c r="AU29" s="110"/>
    </row>
    <row r="30" spans="2:47" ht="14.25" customHeight="1" x14ac:dyDescent="0.35">
      <c r="B30" s="45" t="s">
        <v>144</v>
      </c>
      <c r="C30" s="79"/>
      <c r="D30" s="77">
        <v>12912</v>
      </c>
      <c r="E30" s="77">
        <v>4086</v>
      </c>
      <c r="F30" s="77">
        <v>16654.039919999999</v>
      </c>
      <c r="G30" s="233"/>
      <c r="H30" s="233"/>
      <c r="I30" s="83">
        <f>SUM(F30:H30)</f>
        <v>16654.039919999999</v>
      </c>
      <c r="J30" s="83">
        <f>'Assumptions '!E58*'Income Statement '!G9</f>
        <v>16903.7343912</v>
      </c>
      <c r="K30" s="83">
        <f>'Assumptions '!F58*'Income Statement '!H9</f>
        <v>17157.588888552003</v>
      </c>
      <c r="L30" s="83">
        <f>'Assumptions '!G58*'Income Statement '!I9</f>
        <v>17415.678273946323</v>
      </c>
      <c r="M30" s="83">
        <f>'Assumptions '!H58*'Income Statement '!J9</f>
        <v>17678.078823124761</v>
      </c>
      <c r="N30" s="126"/>
      <c r="O30" s="18"/>
      <c r="P30" s="76"/>
      <c r="Q30" s="76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0"/>
      <c r="AO30" s="110"/>
      <c r="AP30" s="110"/>
      <c r="AQ30" s="110"/>
      <c r="AR30" s="110"/>
      <c r="AS30" s="110"/>
      <c r="AT30" s="110"/>
      <c r="AU30" s="110"/>
    </row>
    <row r="31" spans="2:47" ht="14.25" customHeight="1" x14ac:dyDescent="0.35">
      <c r="B31" s="45" t="s">
        <v>39</v>
      </c>
      <c r="C31" s="79"/>
      <c r="D31" s="151">
        <f>2767+269769</f>
        <v>272536</v>
      </c>
      <c r="E31" s="151">
        <f>3948+283406</f>
        <v>287354</v>
      </c>
      <c r="F31" s="151">
        <v>249810.59879999998</v>
      </c>
      <c r="G31" s="240"/>
      <c r="H31" s="240"/>
      <c r="I31" s="147">
        <f>SUM(F31:H31)</f>
        <v>249810.59879999998</v>
      </c>
      <c r="J31" s="147">
        <f>'Assumptions '!E59*'Income Statement '!G9</f>
        <v>253556.01586799996</v>
      </c>
      <c r="K31" s="147">
        <f>'Assumptions '!F59*'Income Statement '!H9</f>
        <v>257363.83332828002</v>
      </c>
      <c r="L31" s="147">
        <f>'Assumptions '!G59*'Income Statement '!I9</f>
        <v>261235.17410919484</v>
      </c>
      <c r="M31" s="147">
        <f>'Assumptions '!H59*'Income Statement '!J9</f>
        <v>265171.18234687136</v>
      </c>
      <c r="O31" s="18"/>
      <c r="P31" s="75"/>
      <c r="Q31" s="75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0"/>
      <c r="AQ31" s="110"/>
      <c r="AR31" s="110"/>
      <c r="AS31" s="110"/>
      <c r="AT31" s="110"/>
      <c r="AU31" s="110"/>
    </row>
    <row r="32" spans="2:47" ht="14.25" customHeight="1" x14ac:dyDescent="0.4">
      <c r="B32" s="142" t="s">
        <v>40</v>
      </c>
      <c r="C32" s="79"/>
      <c r="D32" s="152">
        <f>SUM(D27:D31)</f>
        <v>2491615</v>
      </c>
      <c r="E32" s="152">
        <f>SUM(E27:E31)</f>
        <v>2236213</v>
      </c>
      <c r="F32" s="152">
        <v>1950294.1859199998</v>
      </c>
      <c r="G32" s="241"/>
      <c r="H32" s="241"/>
      <c r="I32" s="153">
        <f ca="1">SUM(I27:I31)</f>
        <v>4113428.9028119994</v>
      </c>
      <c r="J32" s="153">
        <f ca="1">SUM(J27:J31)</f>
        <v>3578959.1520431992</v>
      </c>
      <c r="K32" s="153">
        <f ca="1">SUM(K27:K31)</f>
        <v>3044701.5626081517</v>
      </c>
      <c r="L32" s="153">
        <f ca="1">SUM(L27:L31)</f>
        <v>2510659.9524632622</v>
      </c>
      <c r="M32" s="153">
        <f ca="1">SUM(M27:M31)</f>
        <v>1976838.2116713626</v>
      </c>
      <c r="N32" s="136"/>
      <c r="P32" s="136"/>
      <c r="Q32" s="136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0"/>
      <c r="AQ32" s="110"/>
      <c r="AR32" s="110"/>
      <c r="AS32" s="110"/>
      <c r="AT32" s="110"/>
      <c r="AU32" s="110"/>
    </row>
    <row r="33" spans="2:47" ht="14.25" customHeight="1" x14ac:dyDescent="0.35">
      <c r="B33" s="150"/>
      <c r="C33" s="138"/>
      <c r="D33" s="154"/>
      <c r="E33" s="154"/>
      <c r="F33" s="138"/>
      <c r="G33" s="237"/>
      <c r="H33" s="237"/>
      <c r="I33" s="58"/>
      <c r="J33" s="58"/>
      <c r="K33" s="58"/>
      <c r="L33" s="58"/>
      <c r="M33" s="58"/>
      <c r="N33" s="136"/>
      <c r="O33" s="136"/>
      <c r="Q33" s="136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  <c r="AO33" s="110"/>
      <c r="AP33" s="110"/>
      <c r="AQ33" s="110"/>
      <c r="AR33" s="110"/>
      <c r="AS33" s="110"/>
      <c r="AT33" s="110"/>
      <c r="AU33" s="110"/>
    </row>
    <row r="34" spans="2:47" ht="14.25" customHeight="1" x14ac:dyDescent="0.4">
      <c r="B34" s="142" t="s">
        <v>41</v>
      </c>
      <c r="C34" s="155"/>
      <c r="D34" s="156">
        <f>D24+D32</f>
        <v>3189911</v>
      </c>
      <c r="E34" s="156">
        <f>E24+E32</f>
        <v>2976421</v>
      </c>
      <c r="F34" s="156">
        <v>2718203.8652112475</v>
      </c>
      <c r="G34" s="242"/>
      <c r="H34" s="242"/>
      <c r="I34" s="157">
        <f ca="1">I24+I32</f>
        <v>5405542.7509032469</v>
      </c>
      <c r="J34" s="157">
        <f ca="1">J24+J32</f>
        <v>4897906.4246933227</v>
      </c>
      <c r="K34" s="157">
        <f ca="1">K24+K32</f>
        <v>4367288.4966478311</v>
      </c>
      <c r="L34" s="157">
        <f ca="1">L24+L32</f>
        <v>3848945.2671398981</v>
      </c>
      <c r="M34" s="157">
        <f ca="1">M24+M32</f>
        <v>3324994.8575156666</v>
      </c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10"/>
      <c r="AQ34" s="110"/>
      <c r="AR34" s="110"/>
      <c r="AS34" s="110"/>
      <c r="AT34" s="110"/>
      <c r="AU34" s="110"/>
    </row>
    <row r="35" spans="2:47" ht="14.25" customHeight="1" x14ac:dyDescent="0.35">
      <c r="B35" s="137"/>
      <c r="C35" s="138"/>
      <c r="D35" s="138"/>
      <c r="E35" s="138"/>
      <c r="F35" s="138"/>
      <c r="G35" s="237"/>
      <c r="H35" s="237"/>
      <c r="I35" s="58"/>
      <c r="J35" s="58"/>
      <c r="K35" s="58"/>
      <c r="L35" s="58"/>
      <c r="M35" s="58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  <c r="AO35" s="110"/>
      <c r="AP35" s="110"/>
      <c r="AQ35" s="110"/>
      <c r="AR35" s="110"/>
      <c r="AS35" s="110"/>
      <c r="AT35" s="110"/>
      <c r="AU35" s="110"/>
    </row>
    <row r="36" spans="2:47" ht="14.25" customHeight="1" x14ac:dyDescent="0.35">
      <c r="B36" s="118"/>
      <c r="C36" s="138"/>
      <c r="D36" s="138"/>
      <c r="E36" s="138"/>
      <c r="F36" s="138"/>
      <c r="G36" s="237"/>
      <c r="H36" s="237"/>
      <c r="I36" s="58"/>
      <c r="J36" s="58"/>
      <c r="K36" s="58"/>
      <c r="L36" s="58"/>
      <c r="M36" s="58"/>
    </row>
    <row r="37" spans="2:47" ht="14.25" customHeight="1" x14ac:dyDescent="0.4">
      <c r="B37" s="158" t="s">
        <v>42</v>
      </c>
      <c r="C37" s="133"/>
      <c r="D37" s="138">
        <v>1453923</v>
      </c>
      <c r="E37" s="138">
        <v>1835732</v>
      </c>
      <c r="F37" s="138">
        <v>2623988.142428536</v>
      </c>
      <c r="G37" s="325">
        <f>-'Transaction Summary'!C31-'Transaction Summary'!C29</f>
        <v>-6086532.6730799992</v>
      </c>
      <c r="H37" s="325">
        <f>'Transaction Summary'!C40+'Transaction Summary'!C39</f>
        <v>2886970.4072339423</v>
      </c>
      <c r="I37" s="83">
        <f>SUM(F37:H37)</f>
        <v>-575574.1234175209</v>
      </c>
      <c r="J37" s="83">
        <f>'Debt &amp; Equity Schedule'!F76</f>
        <v>520966.72501139715</v>
      </c>
      <c r="K37" s="83">
        <f>'Debt &amp; Equity Schedule'!G76</f>
        <v>1625237.7570328726</v>
      </c>
      <c r="L37" s="83">
        <f>'Debt &amp; Equity Schedule'!H76</f>
        <v>2737743.2415926764</v>
      </c>
      <c r="M37" s="83">
        <f>'Debt &amp; Equity Schedule'!I76</f>
        <v>3858454.3912026258</v>
      </c>
      <c r="N37" s="126" t="str">
        <f ca="1">_xlfn.FORMULATEXT(G37)</f>
        <v>=-'Transaction Summary'!C31-'Transaction Summary'!C29</v>
      </c>
      <c r="O37" s="126" t="str">
        <f ca="1">_xlfn.FORMULATEXT(H37)</f>
        <v>='Transaction Summary'!C40+'Transaction Summary'!C39</v>
      </c>
      <c r="Q37" s="159"/>
    </row>
    <row r="38" spans="2:47" ht="14.25" customHeight="1" x14ac:dyDescent="0.35">
      <c r="B38" s="118"/>
      <c r="C38" s="160"/>
      <c r="D38" s="161"/>
      <c r="E38" s="161"/>
      <c r="F38" s="161"/>
      <c r="G38" s="231"/>
      <c r="H38" s="231"/>
      <c r="I38" s="58"/>
      <c r="J38" s="58"/>
      <c r="K38" s="58"/>
      <c r="L38" s="58"/>
      <c r="M38" s="58"/>
    </row>
    <row r="39" spans="2:47" ht="14.25" customHeight="1" thickBot="1" x14ac:dyDescent="0.45">
      <c r="B39" s="158" t="s">
        <v>43</v>
      </c>
      <c r="C39" s="133"/>
      <c r="D39" s="134">
        <f>D34+D37</f>
        <v>4643834</v>
      </c>
      <c r="E39" s="134">
        <f>E34+E37</f>
        <v>4812153</v>
      </c>
      <c r="F39" s="134">
        <v>5342192.0076397834</v>
      </c>
      <c r="G39" s="134"/>
      <c r="H39" s="134"/>
      <c r="I39" s="135">
        <f ca="1">I34+I37</f>
        <v>4829968.627485726</v>
      </c>
      <c r="J39" s="135">
        <f ca="1">J34+J37</f>
        <v>5418873.1497047199</v>
      </c>
      <c r="K39" s="135">
        <f ca="1">K34+K37</f>
        <v>5992526.2536807042</v>
      </c>
      <c r="L39" s="135">
        <f ca="1">L34+L37</f>
        <v>6586688.5087325741</v>
      </c>
      <c r="M39" s="135">
        <f ca="1">M34+M37</f>
        <v>7183449.2487182925</v>
      </c>
      <c r="O39" s="159"/>
    </row>
    <row r="40" spans="2:47" ht="14.25" customHeight="1" thickTop="1" x14ac:dyDescent="0.35">
      <c r="E40" s="162"/>
      <c r="F40" s="162"/>
      <c r="G40" s="162"/>
      <c r="H40" s="162"/>
    </row>
    <row r="41" spans="2:47" ht="14.25" customHeight="1" x14ac:dyDescent="0.4">
      <c r="B41" s="58"/>
      <c r="C41" s="58"/>
      <c r="D41" s="58"/>
      <c r="E41" s="163"/>
      <c r="F41" s="163"/>
      <c r="G41" s="163"/>
      <c r="H41" s="163"/>
      <c r="I41" s="164"/>
      <c r="J41" s="164"/>
      <c r="K41" s="164"/>
      <c r="L41" s="164"/>
      <c r="M41" s="164"/>
      <c r="P41" s="163"/>
    </row>
    <row r="42" spans="2:47" ht="14.25" customHeight="1" x14ac:dyDescent="0.4">
      <c r="B42" s="109" t="s">
        <v>75</v>
      </c>
      <c r="D42" s="165">
        <f t="shared" ref="D42:M42" si="4">ROUND(D17-D39, 3)</f>
        <v>0</v>
      </c>
      <c r="E42" s="165">
        <f t="shared" si="4"/>
        <v>0</v>
      </c>
      <c r="F42" s="165">
        <v>0</v>
      </c>
      <c r="G42" s="165"/>
      <c r="H42" s="165"/>
      <c r="I42" s="165">
        <f t="shared" ca="1" si="4"/>
        <v>0</v>
      </c>
      <c r="J42" s="165">
        <f t="shared" ca="1" si="4"/>
        <v>0</v>
      </c>
      <c r="K42" s="165">
        <f t="shared" ca="1" si="4"/>
        <v>0</v>
      </c>
      <c r="L42" s="165">
        <f t="shared" ca="1" si="4"/>
        <v>0</v>
      </c>
      <c r="M42" s="165">
        <f t="shared" ca="1" si="4"/>
        <v>0</v>
      </c>
    </row>
    <row r="44" spans="2:47" x14ac:dyDescent="0.35">
      <c r="B44" s="14"/>
    </row>
  </sheetData>
  <phoneticPr fontId="10" type="noConversion"/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K77"/>
  <sheetViews>
    <sheetView zoomScale="70" zoomScaleNormal="70" workbookViewId="0">
      <selection activeCell="L30" sqref="L30"/>
    </sheetView>
  </sheetViews>
  <sheetFormatPr defaultColWidth="9.06640625" defaultRowHeight="13.5" x14ac:dyDescent="0.35"/>
  <cols>
    <col min="1" max="1" width="2.06640625" style="58" customWidth="1"/>
    <col min="2" max="2" width="38.46484375" style="58" customWidth="1"/>
    <col min="3" max="3" width="10.46484375" style="58" customWidth="1"/>
    <col min="4" max="4" width="34.796875" style="58" customWidth="1"/>
    <col min="5" max="9" width="13.796875" style="58" customWidth="1"/>
    <col min="10" max="16384" width="9.06640625" style="58"/>
  </cols>
  <sheetData>
    <row r="1" spans="2:10" ht="13.9" thickBot="1" x14ac:dyDescent="0.4">
      <c r="B1" s="166"/>
      <c r="C1" s="166"/>
      <c r="D1" s="166"/>
      <c r="E1" s="166"/>
      <c r="F1" s="166"/>
      <c r="G1" s="166"/>
      <c r="H1" s="166"/>
      <c r="I1" s="166"/>
    </row>
    <row r="2" spans="2:10" ht="14.25" thickBot="1" x14ac:dyDescent="0.45">
      <c r="B2" s="107" t="str">
        <f>'Assumptions '!C5&amp; " Debt and Equity Schedule"</f>
        <v>CROCS, INC. Debt and Equity Schedule</v>
      </c>
      <c r="C2" s="105"/>
      <c r="D2" s="105"/>
      <c r="E2" s="105"/>
      <c r="F2" s="105"/>
      <c r="G2" s="105"/>
      <c r="H2" s="105"/>
      <c r="I2" s="105"/>
    </row>
    <row r="3" spans="2:10" ht="13.9" thickBot="1" x14ac:dyDescent="0.4">
      <c r="E3" s="166"/>
      <c r="F3" s="166"/>
      <c r="G3" s="166"/>
      <c r="H3" s="166"/>
      <c r="I3" s="166"/>
    </row>
    <row r="4" spans="2:10" ht="14.25" thickBot="1" x14ac:dyDescent="0.45">
      <c r="B4" s="167"/>
      <c r="E4" s="168">
        <f>'Assumptions '!D12</f>
        <v>2025</v>
      </c>
      <c r="F4" s="168">
        <f>'Assumptions '!E12</f>
        <v>2026</v>
      </c>
      <c r="G4" s="168">
        <f>'Assumptions '!F12</f>
        <v>2027</v>
      </c>
      <c r="H4" s="168">
        <f>'Assumptions '!G12</f>
        <v>2028</v>
      </c>
      <c r="I4" s="168">
        <f>'Assumptions '!H12</f>
        <v>2029</v>
      </c>
    </row>
    <row r="6" spans="2:10" x14ac:dyDescent="0.35">
      <c r="B6" s="58" t="s">
        <v>107</v>
      </c>
      <c r="E6" s="169">
        <f>'Balance Sheet '!E8</f>
        <v>180485</v>
      </c>
      <c r="F6" s="169">
        <f>'Balance Sheet '!I8</f>
        <v>0</v>
      </c>
      <c r="G6" s="169">
        <f ca="1">'Balance Sheet '!J8</f>
        <v>521650.66009038535</v>
      </c>
      <c r="H6" s="169">
        <f ca="1">'Balance Sheet '!K8</f>
        <v>996749.41747455089</v>
      </c>
      <c r="I6" s="169">
        <f ca="1">'Balance Sheet '!L8</f>
        <v>1516664.9750068316</v>
      </c>
      <c r="J6" s="58" t="str">
        <f ca="1">_xlfn.FORMULATEXT(E6)</f>
        <v>='Balance Sheet '!E8</v>
      </c>
    </row>
    <row r="7" spans="2:10" x14ac:dyDescent="0.35">
      <c r="B7" s="58" t="s">
        <v>110</v>
      </c>
      <c r="E7" s="227">
        <f>'Statement of Cash Flow'!D18+'Statement of Cash Flow'!D24</f>
        <v>907225.23415405815</v>
      </c>
      <c r="F7" s="227">
        <f>'Statement of Cash Flow'!E18+'Statement of Cash Flow'!E24</f>
        <v>1056370.1053303853</v>
      </c>
      <c r="G7" s="227">
        <f>'Statement of Cash Flow'!F18+'Statement of Cash Flow'!F24</f>
        <v>1009610.2013165653</v>
      </c>
      <c r="H7" s="227">
        <f>'Statement of Cash Flow'!G18+'Statement of Cash Flow'!G24</f>
        <v>1054215.2570625646</v>
      </c>
      <c r="I7" s="227">
        <f>'Statement of Cash Flow'!H18+'Statement of Cash Flow'!H24</f>
        <v>1052802.5444570151</v>
      </c>
      <c r="J7" s="58" t="str">
        <f t="shared" ref="J7:J17" ca="1" si="0">_xlfn.FORMULATEXT(E7)</f>
        <v>='Statement of Cash Flow'!D18+'Statement of Cash Flow'!D24</v>
      </c>
    </row>
    <row r="8" spans="2:10" x14ac:dyDescent="0.35">
      <c r="B8" s="58" t="s">
        <v>111</v>
      </c>
      <c r="E8" s="227">
        <f>-'Assumptions '!D64*'Income Statement '!F9</f>
        <v>-62452.649699999994</v>
      </c>
      <c r="F8" s="227">
        <f>-'Assumptions '!E64*'Income Statement '!G9</f>
        <v>-63389.00396699999</v>
      </c>
      <c r="G8" s="227">
        <f>-'Assumptions '!F64*'Income Statement '!H9</f>
        <v>-64340.958332070004</v>
      </c>
      <c r="H8" s="227">
        <f>-'Assumptions '!G64*'Income Statement '!I9</f>
        <v>-65308.793527298709</v>
      </c>
      <c r="I8" s="227">
        <f>-'Assumptions '!H64*'Income Statement '!J9</f>
        <v>-66292.795586717839</v>
      </c>
      <c r="J8" s="58" t="str">
        <f t="shared" ca="1" si="0"/>
        <v>=-'Assumptions '!D64*'Income Statement '!F9</v>
      </c>
    </row>
    <row r="9" spans="2:10" x14ac:dyDescent="0.35">
      <c r="B9" s="58" t="str">
        <f>B74</f>
        <v>Stock Issuance (Repurchases)</v>
      </c>
      <c r="E9" s="227">
        <f>-E74</f>
        <v>0</v>
      </c>
      <c r="F9" s="227">
        <f t="shared" ref="F9:I9" si="1">-F74</f>
        <v>0</v>
      </c>
      <c r="G9" s="227">
        <f t="shared" si="1"/>
        <v>0</v>
      </c>
      <c r="H9" s="227">
        <f t="shared" si="1"/>
        <v>0</v>
      </c>
      <c r="I9" s="227">
        <f t="shared" si="1"/>
        <v>0</v>
      </c>
      <c r="J9" s="58" t="str">
        <f t="shared" ca="1" si="0"/>
        <v>=-E74</v>
      </c>
    </row>
    <row r="10" spans="2:10" x14ac:dyDescent="0.35">
      <c r="B10" s="58" t="str">
        <f>B75</f>
        <v>(Dividends Payout)</v>
      </c>
      <c r="E10" s="227">
        <f t="shared" ref="E10:I10" si="2">E75</f>
        <v>0</v>
      </c>
      <c r="F10" s="227">
        <f t="shared" si="2"/>
        <v>0</v>
      </c>
      <c r="G10" s="227">
        <f t="shared" si="2"/>
        <v>0</v>
      </c>
      <c r="H10" s="227">
        <f t="shared" si="2"/>
        <v>0</v>
      </c>
      <c r="I10" s="227">
        <f t="shared" si="2"/>
        <v>0</v>
      </c>
      <c r="J10" s="58" t="str">
        <f t="shared" ca="1" si="0"/>
        <v>=E75</v>
      </c>
    </row>
    <row r="11" spans="2:10" x14ac:dyDescent="0.35">
      <c r="B11" s="136" t="str">
        <f>'Statement of Cash Flow'!B30</f>
        <v>Increase (Decrease) in Other Long-Term Liabilities</v>
      </c>
      <c r="E11" s="228">
        <f>'Balance Sheet '!I31-'Balance Sheet '!E31</f>
        <v>-37543.401200000022</v>
      </c>
      <c r="F11" s="228">
        <f>'Balance Sheet '!J31-'Balance Sheet '!I31</f>
        <v>3745.4170679999806</v>
      </c>
      <c r="G11" s="228">
        <f>'Balance Sheet '!K31-'Balance Sheet '!J31</f>
        <v>3807.8174602800573</v>
      </c>
      <c r="H11" s="228">
        <f>'Balance Sheet '!L31-'Balance Sheet '!K31</f>
        <v>3871.3407809148193</v>
      </c>
      <c r="I11" s="228">
        <f>'Balance Sheet '!M31-'Balance Sheet '!L31</f>
        <v>3936.0082376765204</v>
      </c>
      <c r="J11" s="58" t="str">
        <f t="shared" ca="1" si="0"/>
        <v>='Balance Sheet '!I31-'Balance Sheet '!E31</v>
      </c>
    </row>
    <row r="12" spans="2:10" ht="13.9" x14ac:dyDescent="0.4">
      <c r="B12" s="171" t="s">
        <v>220</v>
      </c>
      <c r="E12" s="229">
        <f>SUM(E6:E11)</f>
        <v>987714.18325405824</v>
      </c>
      <c r="F12" s="229">
        <f>SUM(F6:F11)</f>
        <v>996726.51843138528</v>
      </c>
      <c r="G12" s="229">
        <f ca="1">SUM(G6:G11)</f>
        <v>1470727.720535161</v>
      </c>
      <c r="H12" s="229">
        <f ca="1">SUM(H6:H11)</f>
        <v>1989527.2217907317</v>
      </c>
      <c r="I12" s="229">
        <f ca="1">SUM(I6:I11)</f>
        <v>2507110.7321148054</v>
      </c>
      <c r="J12" s="58" t="str">
        <f t="shared" ca="1" si="0"/>
        <v>=SUM(E6:E11)</v>
      </c>
    </row>
    <row r="13" spans="2:10" x14ac:dyDescent="0.35">
      <c r="B13" s="58" t="s">
        <v>52</v>
      </c>
      <c r="E13" s="227">
        <f>-'Balance Sheet '!I23</f>
        <v>-547204.16879999987</v>
      </c>
      <c r="F13" s="227">
        <f>-'Balance Sheet '!J23</f>
        <v>-547204.16879999987</v>
      </c>
      <c r="G13" s="227">
        <f>-'Balance Sheet '!K23</f>
        <v>-547204.16879999987</v>
      </c>
      <c r="H13" s="227">
        <f>-'Balance Sheet '!L23</f>
        <v>-547204.16879999987</v>
      </c>
      <c r="I13" s="227">
        <f>-'Balance Sheet '!M23</f>
        <v>-547204.16879999987</v>
      </c>
      <c r="J13" s="58" t="str">
        <f t="shared" ca="1" si="0"/>
        <v>=-'Balance Sheet '!I23</v>
      </c>
    </row>
    <row r="14" spans="2:10" x14ac:dyDescent="0.35">
      <c r="B14" s="58" t="s">
        <v>53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</row>
    <row r="15" spans="2:10" ht="13.9" x14ac:dyDescent="0.4">
      <c r="B15" s="171" t="s">
        <v>221</v>
      </c>
      <c r="E15" s="229">
        <f>SUM(E12:E14)</f>
        <v>440510.01445405837</v>
      </c>
      <c r="F15" s="229">
        <f t="shared" ref="F15:I15" si="3">SUM(F12:F14)</f>
        <v>449522.34963138541</v>
      </c>
      <c r="G15" s="229">
        <f t="shared" ca="1" si="3"/>
        <v>923523.55173516111</v>
      </c>
      <c r="H15" s="229">
        <f t="shared" ca="1" si="3"/>
        <v>1442323.0529907318</v>
      </c>
      <c r="I15" s="229">
        <f t="shared" ca="1" si="3"/>
        <v>1959906.5633148055</v>
      </c>
      <c r="J15" s="58" t="str">
        <f t="shared" ca="1" si="0"/>
        <v>=SUM(E12:E14)</v>
      </c>
    </row>
    <row r="16" spans="2:10" x14ac:dyDescent="0.35">
      <c r="B16" s="58" t="s">
        <v>222</v>
      </c>
      <c r="E16" s="228">
        <f ca="1">-MIN(E15-E20,E31+E13)</f>
        <v>-440510.01445405837</v>
      </c>
      <c r="F16" s="228">
        <f ca="1">-MIN(F15-F20,F31+F13)</f>
        <v>-449522.34963138541</v>
      </c>
      <c r="G16" s="228">
        <f ca="1">-MIN(G15-G20,G31+G13)</f>
        <v>-923523.55173516111</v>
      </c>
      <c r="H16" s="228">
        <f ca="1">-MIN(H15-H20,H31+H13)</f>
        <v>-1442323.0529907318</v>
      </c>
      <c r="I16" s="228">
        <f ca="1">-MIN(I15-I20,I31+I13)</f>
        <v>-1622460.3604919997</v>
      </c>
      <c r="J16" s="58" t="str">
        <f t="shared" ca="1" si="0"/>
        <v>=-MIN(E15-E20,E31+E13)</v>
      </c>
    </row>
    <row r="17" spans="2:10" ht="13.9" x14ac:dyDescent="0.4">
      <c r="B17" s="171" t="s">
        <v>113</v>
      </c>
      <c r="E17" s="229">
        <f ca="1">SUM(E15:E16)</f>
        <v>0</v>
      </c>
      <c r="F17" s="229">
        <f t="shared" ref="F17:I17" ca="1" si="4">SUM(F15:F16)</f>
        <v>0</v>
      </c>
      <c r="G17" s="229">
        <f t="shared" ca="1" si="4"/>
        <v>0</v>
      </c>
      <c r="H17" s="229">
        <f t="shared" ca="1" si="4"/>
        <v>0</v>
      </c>
      <c r="I17" s="229">
        <f t="shared" ca="1" si="4"/>
        <v>337446.20282280585</v>
      </c>
      <c r="J17" s="58" t="str">
        <f t="shared" ca="1" si="0"/>
        <v>=SUM(E15:E16)</v>
      </c>
    </row>
    <row r="19" spans="2:10" ht="13.9" x14ac:dyDescent="0.4">
      <c r="B19" s="171" t="s">
        <v>108</v>
      </c>
    </row>
    <row r="20" spans="2:10" x14ac:dyDescent="0.35">
      <c r="B20" s="58" t="s">
        <v>54</v>
      </c>
      <c r="D20" s="258"/>
      <c r="E20" s="258">
        <f ca="1">D23</f>
        <v>0</v>
      </c>
      <c r="F20" s="258">
        <f ca="1">E23</f>
        <v>0</v>
      </c>
      <c r="G20" s="258">
        <f ca="1">F23</f>
        <v>0</v>
      </c>
      <c r="H20" s="258">
        <f t="shared" ref="H20:I20" ca="1" si="5">G23</f>
        <v>0</v>
      </c>
      <c r="I20" s="258">
        <f t="shared" ca="1" si="5"/>
        <v>0</v>
      </c>
      <c r="J20" s="58" t="str">
        <f t="shared" ref="J20:J23" ca="1" si="6">_xlfn.FORMULATEXT(E20)</f>
        <v>=D23</v>
      </c>
    </row>
    <row r="21" spans="2:10" x14ac:dyDescent="0.35">
      <c r="B21" s="58" t="s">
        <v>209</v>
      </c>
      <c r="D21" s="258"/>
      <c r="E21" s="258">
        <f ca="1">-MIN(E17,E20)</f>
        <v>0</v>
      </c>
      <c r="F21" s="258">
        <f ca="1">-MIN(F17,F20)</f>
        <v>0</v>
      </c>
      <c r="G21" s="258">
        <f ca="1">-MIN(G17,G20)</f>
        <v>0</v>
      </c>
      <c r="H21" s="258">
        <f ca="1">-MIN(H17,H20)</f>
        <v>0</v>
      </c>
      <c r="I21" s="258">
        <f ca="1">-MIN(I17,I20)</f>
        <v>0</v>
      </c>
      <c r="J21" s="58" t="str">
        <f t="shared" ca="1" si="6"/>
        <v>=-MIN(E17,E20)</v>
      </c>
    </row>
    <row r="22" spans="2:10" ht="13.9" x14ac:dyDescent="0.4">
      <c r="B22" s="171" t="s">
        <v>208</v>
      </c>
      <c r="D22" s="258"/>
      <c r="E22" s="262">
        <f>0.6*AVERAGE('Balance Sheet '!I9:J9)+0.8*AVERAGE('Balance Sheet '!I10:J10)</f>
        <v>508291.30983021838</v>
      </c>
      <c r="F22" s="262">
        <f>0.6*AVERAGE('Balance Sheet '!J9:K9)+0.8*AVERAGE('Balance Sheet '!J10:K10)</f>
        <v>512834.40372434491</v>
      </c>
      <c r="G22" s="262">
        <f>0.6*AVERAGE('Balance Sheet '!K9:L9)+0.8*AVERAGE('Balance Sheet '!K10:L10)</f>
        <v>522107.47512827953</v>
      </c>
      <c r="H22" s="262">
        <f>0.6*AVERAGE('Balance Sheet '!L9:M9)+0.8*AVERAGE('Balance Sheet '!L10:M10)</f>
        <v>529173.32265002129</v>
      </c>
      <c r="I22" s="262">
        <f>0.6*AVERAGE('Balance Sheet '!M9:N9)+0.8*AVERAGE('Balance Sheet '!M10:N10)</f>
        <v>533942.50121669366</v>
      </c>
      <c r="J22" s="58" t="str">
        <f t="shared" ca="1" si="6"/>
        <v>=0.6*AVERAGE('Balance Sheet '!I9:J9)+0.8*AVERAGE('Balance Sheet '!I10:J10)</v>
      </c>
    </row>
    <row r="23" spans="2:10" x14ac:dyDescent="0.35">
      <c r="B23" s="58" t="s">
        <v>55</v>
      </c>
      <c r="D23" s="258">
        <f ca="1">'Balance Sheet '!I29</f>
        <v>0</v>
      </c>
      <c r="E23" s="319">
        <f ca="1">MIN((E20+E21),E22)</f>
        <v>0</v>
      </c>
      <c r="F23" s="319">
        <f t="shared" ref="F23:I23" ca="1" si="7">MIN((F20+F21),F22)</f>
        <v>0</v>
      </c>
      <c r="G23" s="319">
        <f t="shared" ca="1" si="7"/>
        <v>0</v>
      </c>
      <c r="H23" s="319">
        <f t="shared" ca="1" si="7"/>
        <v>0</v>
      </c>
      <c r="I23" s="319">
        <f t="shared" ca="1" si="7"/>
        <v>0</v>
      </c>
      <c r="J23" s="58" t="str">
        <f t="shared" ca="1" si="6"/>
        <v>=MIN((E20+E21),E22)</v>
      </c>
    </row>
    <row r="25" spans="2:10" ht="13.9" x14ac:dyDescent="0.4">
      <c r="B25" s="171" t="s">
        <v>210</v>
      </c>
      <c r="C25" s="159"/>
      <c r="D25" s="159"/>
      <c r="E25" s="159"/>
      <c r="F25" s="159"/>
      <c r="G25" s="159"/>
      <c r="H25" s="159"/>
      <c r="I25" s="159"/>
    </row>
    <row r="26" spans="2:10" x14ac:dyDescent="0.35">
      <c r="B26" s="58" t="s">
        <v>54</v>
      </c>
      <c r="C26" s="159"/>
      <c r="D26" s="159"/>
      <c r="E26" s="159">
        <f>D28</f>
        <v>0</v>
      </c>
      <c r="F26" s="159">
        <f t="shared" ref="F26:I26" ca="1" si="8">E28</f>
        <v>0</v>
      </c>
      <c r="G26" s="159">
        <f t="shared" ca="1" si="8"/>
        <v>0</v>
      </c>
      <c r="H26" s="159">
        <f t="shared" ca="1" si="8"/>
        <v>0</v>
      </c>
      <c r="I26" s="159">
        <f t="shared" ca="1" si="8"/>
        <v>0</v>
      </c>
      <c r="J26" s="58" t="str">
        <f t="shared" ref="J26:J28" ca="1" si="9">_xlfn.FORMULATEXT(E26)</f>
        <v>=D28</v>
      </c>
    </row>
    <row r="27" spans="2:10" x14ac:dyDescent="0.35">
      <c r="B27" s="58" t="s">
        <v>211</v>
      </c>
      <c r="C27" s="261"/>
      <c r="D27" s="159"/>
      <c r="E27" s="173">
        <f ca="1">IF(SUM(E20:E21)&gt;E22,SUM(E20:E21)-E22,0)</f>
        <v>0</v>
      </c>
      <c r="F27" s="173">
        <f t="shared" ref="F27:I27" ca="1" si="10">IF(SUM(F20:F21)&gt;F22,SUM(F20:F21)-F22,0)</f>
        <v>0</v>
      </c>
      <c r="G27" s="173">
        <f t="shared" ca="1" si="10"/>
        <v>0</v>
      </c>
      <c r="H27" s="173">
        <f t="shared" ca="1" si="10"/>
        <v>0</v>
      </c>
      <c r="I27" s="173">
        <f t="shared" ca="1" si="10"/>
        <v>0</v>
      </c>
      <c r="J27" s="58" t="str">
        <f t="shared" ca="1" si="9"/>
        <v>=IF(SUM(E20:E21)&gt;E22,SUM(E20:E21)-E22,0)</v>
      </c>
    </row>
    <row r="28" spans="2:10" ht="13.9" x14ac:dyDescent="0.4">
      <c r="B28" s="171" t="s">
        <v>55</v>
      </c>
      <c r="C28" s="159"/>
      <c r="D28" s="159">
        <v>0</v>
      </c>
      <c r="E28" s="320">
        <f ca="1">SUM(E26:E27)</f>
        <v>0</v>
      </c>
      <c r="F28" s="320">
        <f t="shared" ref="F28:I28" ca="1" si="11">SUM(F26:F27)</f>
        <v>0</v>
      </c>
      <c r="G28" s="320">
        <f t="shared" ca="1" si="11"/>
        <v>0</v>
      </c>
      <c r="H28" s="320">
        <f t="shared" ca="1" si="11"/>
        <v>0</v>
      </c>
      <c r="I28" s="320">
        <f t="shared" ca="1" si="11"/>
        <v>0</v>
      </c>
      <c r="J28" s="58" t="str">
        <f t="shared" ca="1" si="9"/>
        <v>=SUM(E26:E27)</v>
      </c>
    </row>
    <row r="30" spans="2:10" ht="13.9" x14ac:dyDescent="0.4">
      <c r="B30" s="171" t="str">
        <f>'Balance Sheet '!B28 &amp;" Total"</f>
        <v>Long Term Debt Total</v>
      </c>
    </row>
    <row r="31" spans="2:10" x14ac:dyDescent="0.35">
      <c r="B31" s="58" t="s">
        <v>54</v>
      </c>
      <c r="E31" s="159">
        <f>D33</f>
        <v>1349339</v>
      </c>
      <c r="F31" s="159">
        <f>E33</f>
        <v>3811277.0356919998</v>
      </c>
      <c r="G31" s="159">
        <f>F33</f>
        <v>3264072.8668919997</v>
      </c>
      <c r="H31" s="159">
        <f>G33</f>
        <v>2716868.6980919996</v>
      </c>
      <c r="I31" s="159">
        <f>H33</f>
        <v>2169664.5292919995</v>
      </c>
      <c r="J31" s="58" t="str">
        <f t="shared" ref="J31:J32" ca="1" si="12">_xlfn.FORMULATEXT(E31)</f>
        <v>=D33</v>
      </c>
    </row>
    <row r="32" spans="2:10" x14ac:dyDescent="0.35">
      <c r="B32" s="58" t="str">
        <f>"Issuance/(repayment) on "&amp;'Balance Sheet '!B28 &amp;" Total"</f>
        <v>Issuance/(repayment) on Long Term Debt Total</v>
      </c>
      <c r="E32" s="173">
        <f>E13+E14</f>
        <v>-547204.16879999987</v>
      </c>
      <c r="F32" s="173">
        <f>F13+F14</f>
        <v>-547204.16879999987</v>
      </c>
      <c r="G32" s="173">
        <f>G13+G14</f>
        <v>-547204.16879999987</v>
      </c>
      <c r="H32" s="173">
        <f>H13+H14</f>
        <v>-547204.16879999987</v>
      </c>
      <c r="I32" s="173">
        <f>I13+I14</f>
        <v>-547204.16879999987</v>
      </c>
      <c r="J32" s="58" t="str">
        <f t="shared" ca="1" si="12"/>
        <v>=E13+E14</v>
      </c>
    </row>
    <row r="33" spans="2:10" ht="13.9" x14ac:dyDescent="0.4">
      <c r="B33" s="171" t="s">
        <v>55</v>
      </c>
      <c r="D33" s="136">
        <f>'Balance Sheet '!E23+'Balance Sheet '!E28</f>
        <v>1349339</v>
      </c>
      <c r="E33" s="318">
        <f>'Balance Sheet '!I28+'Balance Sheet '!I23</f>
        <v>3811277.0356919998</v>
      </c>
      <c r="F33" s="172">
        <f>SUM(F31:F32)</f>
        <v>3264072.8668919997</v>
      </c>
      <c r="G33" s="172">
        <f>SUM(G31:G32)</f>
        <v>2716868.6980919996</v>
      </c>
      <c r="H33" s="172">
        <f>SUM(H31:H32)</f>
        <v>2169664.5292919995</v>
      </c>
      <c r="I33" s="172">
        <f>SUM(I31:I32)</f>
        <v>1622460.3604919997</v>
      </c>
      <c r="J33" s="58" t="str">
        <f ca="1">_xlfn.FORMULATEXT(F33)</f>
        <v>=SUM(F31:F32)</v>
      </c>
    </row>
    <row r="34" spans="2:10" x14ac:dyDescent="0.35">
      <c r="E34" s="58" t="str">
        <f ca="1">_xlfn.FORMULATEXT(E33)</f>
        <v>='Balance Sheet '!I28+'Balance Sheet '!I23</v>
      </c>
    </row>
    <row r="35" spans="2:10" ht="13.9" x14ac:dyDescent="0.4">
      <c r="B35" s="174" t="s">
        <v>109</v>
      </c>
    </row>
    <row r="36" spans="2:10" ht="14.25" thickBot="1" x14ac:dyDescent="0.45">
      <c r="E36" s="175">
        <f>E4</f>
        <v>2025</v>
      </c>
      <c r="F36" s="175">
        <f>F4</f>
        <v>2026</v>
      </c>
      <c r="G36" s="175">
        <f>G4</f>
        <v>2027</v>
      </c>
      <c r="H36" s="175">
        <f>H4</f>
        <v>2028</v>
      </c>
      <c r="I36" s="175">
        <f>I4</f>
        <v>2029</v>
      </c>
    </row>
    <row r="37" spans="2:10" ht="13.9" x14ac:dyDescent="0.4">
      <c r="B37" s="176" t="str">
        <f>'Balance Sheet '!B29</f>
        <v>Revolving Line of Credit</v>
      </c>
    </row>
    <row r="38" spans="2:10" x14ac:dyDescent="0.35">
      <c r="B38" s="58" t="s">
        <v>56</v>
      </c>
      <c r="E38" s="159">
        <f ca="1">AVERAGE(D23:E23)</f>
        <v>0</v>
      </c>
      <c r="F38" s="159">
        <f ca="1">AVERAGE(E23:F23)</f>
        <v>0</v>
      </c>
      <c r="G38" s="159">
        <f ca="1">AVERAGE(F23:G23)</f>
        <v>0</v>
      </c>
      <c r="H38" s="159">
        <f ca="1">AVERAGE(G23:H23)</f>
        <v>0</v>
      </c>
      <c r="I38" s="159">
        <f ca="1">AVERAGE(H23:I23)</f>
        <v>0</v>
      </c>
      <c r="J38" s="58" t="str">
        <f t="shared" ref="J38:J41" ca="1" si="13">_xlfn.FORMULATEXT(E38)</f>
        <v>=AVERAGE(D23:E23)</v>
      </c>
    </row>
    <row r="39" spans="2:10" x14ac:dyDescent="0.35">
      <c r="B39" s="58" t="s">
        <v>215</v>
      </c>
      <c r="E39" s="177">
        <v>4.2999999999999997E-2</v>
      </c>
      <c r="F39" s="177">
        <v>4.2999999999999997E-2</v>
      </c>
      <c r="G39" s="177">
        <v>4.2999999999999997E-2</v>
      </c>
      <c r="H39" s="177">
        <v>4.2999999999999997E-2</v>
      </c>
      <c r="I39" s="177">
        <v>4.2999999999999997E-2</v>
      </c>
    </row>
    <row r="40" spans="2:10" x14ac:dyDescent="0.35">
      <c r="B40" s="58" t="s">
        <v>223</v>
      </c>
      <c r="E40" s="177">
        <f>E39+6%</f>
        <v>0.10299999999999999</v>
      </c>
      <c r="F40" s="177">
        <f t="shared" ref="F40:I40" si="14">F39+6%</f>
        <v>0.10299999999999999</v>
      </c>
      <c r="G40" s="177">
        <f t="shared" si="14"/>
        <v>0.10299999999999999</v>
      </c>
      <c r="H40" s="177">
        <f t="shared" si="14"/>
        <v>0.10299999999999999</v>
      </c>
      <c r="I40" s="177">
        <f t="shared" si="14"/>
        <v>0.10299999999999999</v>
      </c>
      <c r="J40" s="58" t="str">
        <f t="shared" ca="1" si="13"/>
        <v>=E39+6%</v>
      </c>
    </row>
    <row r="41" spans="2:10" x14ac:dyDescent="0.35">
      <c r="B41" s="58" t="s">
        <v>8</v>
      </c>
      <c r="E41" s="159">
        <f ca="1">E38*E40</f>
        <v>0</v>
      </c>
      <c r="F41" s="159">
        <f t="shared" ref="F41:I41" ca="1" si="15">F38*F40</f>
        <v>0</v>
      </c>
      <c r="G41" s="159">
        <f t="shared" ca="1" si="15"/>
        <v>0</v>
      </c>
      <c r="H41" s="159">
        <f t="shared" ca="1" si="15"/>
        <v>0</v>
      </c>
      <c r="I41" s="159">
        <f t="shared" ca="1" si="15"/>
        <v>0</v>
      </c>
      <c r="J41" s="58" t="str">
        <f t="shared" ca="1" si="13"/>
        <v>=E38*E40</v>
      </c>
    </row>
    <row r="43" spans="2:10" ht="13.9" x14ac:dyDescent="0.4">
      <c r="B43" s="171" t="s">
        <v>212</v>
      </c>
      <c r="D43" s="159"/>
      <c r="E43" s="159"/>
      <c r="F43" s="159"/>
      <c r="G43" s="159"/>
      <c r="H43" s="159"/>
      <c r="I43" s="159"/>
    </row>
    <row r="44" spans="2:10" x14ac:dyDescent="0.35">
      <c r="B44" s="58" t="s">
        <v>56</v>
      </c>
      <c r="D44" s="159"/>
      <c r="E44" s="159">
        <f ca="1">AVERAGE(D28:E28)</f>
        <v>0</v>
      </c>
      <c r="F44" s="159">
        <f t="shared" ref="F44:I44" ca="1" si="16">AVERAGE(E28:F28)</f>
        <v>0</v>
      </c>
      <c r="G44" s="159">
        <f ca="1">AVERAGE(F28:G28)</f>
        <v>0</v>
      </c>
      <c r="H44" s="159">
        <f t="shared" ca="1" si="16"/>
        <v>0</v>
      </c>
      <c r="I44" s="159">
        <f t="shared" ca="1" si="16"/>
        <v>0</v>
      </c>
      <c r="J44" s="58" t="str">
        <f t="shared" ref="J44:J49" ca="1" si="17">_xlfn.FORMULATEXT(E44)</f>
        <v>=AVERAGE(D28:E28)</v>
      </c>
    </row>
    <row r="45" spans="2:10" x14ac:dyDescent="0.35">
      <c r="B45" s="58" t="s">
        <v>213</v>
      </c>
      <c r="E45" s="259">
        <v>4.34738E-2</v>
      </c>
      <c r="F45" s="259">
        <v>4.34738E-2</v>
      </c>
      <c r="G45" s="259">
        <v>4.34738E-2</v>
      </c>
      <c r="H45" s="259">
        <v>4.34738E-2</v>
      </c>
      <c r="I45" s="259">
        <v>4.34738E-2</v>
      </c>
    </row>
    <row r="46" spans="2:10" x14ac:dyDescent="0.35">
      <c r="B46" s="267" t="s">
        <v>228</v>
      </c>
      <c r="E46" s="260">
        <f>E45+7%</f>
        <v>0.11347380000000001</v>
      </c>
      <c r="F46" s="260">
        <f t="shared" ref="F46:I46" si="18">F45+7%</f>
        <v>0.11347380000000001</v>
      </c>
      <c r="G46" s="260">
        <f t="shared" si="18"/>
        <v>0.11347380000000001</v>
      </c>
      <c r="H46" s="260">
        <f t="shared" si="18"/>
        <v>0.11347380000000001</v>
      </c>
      <c r="I46" s="260">
        <f t="shared" si="18"/>
        <v>0.11347380000000001</v>
      </c>
      <c r="J46" s="58" t="str">
        <f t="shared" ca="1" si="17"/>
        <v>=E45+7%</v>
      </c>
    </row>
    <row r="47" spans="2:10" x14ac:dyDescent="0.35">
      <c r="B47" s="267" t="s">
        <v>229</v>
      </c>
      <c r="E47" s="260">
        <f>E45+12%</f>
        <v>0.1634738</v>
      </c>
      <c r="F47" s="260">
        <f t="shared" ref="F47:I47" si="19">F45+12%</f>
        <v>0.1634738</v>
      </c>
      <c r="G47" s="260">
        <f t="shared" si="19"/>
        <v>0.1634738</v>
      </c>
      <c r="H47" s="260">
        <f t="shared" si="19"/>
        <v>0.1634738</v>
      </c>
      <c r="I47" s="260">
        <f t="shared" si="19"/>
        <v>0.1634738</v>
      </c>
      <c r="J47" s="58" t="str">
        <f t="shared" ca="1" si="17"/>
        <v>=E45+12%</v>
      </c>
    </row>
    <row r="48" spans="2:10" x14ac:dyDescent="0.35">
      <c r="B48" s="58" t="s">
        <v>224</v>
      </c>
      <c r="E48" s="267">
        <f ca="1">IF(E44&lt;=E22*0.1,0,1)</f>
        <v>0</v>
      </c>
      <c r="F48" s="267">
        <f t="shared" ref="F48:I48" ca="1" si="20">IF(F44&lt;=F22*0.1,0,1)</f>
        <v>0</v>
      </c>
      <c r="G48" s="267">
        <f t="shared" ca="1" si="20"/>
        <v>0</v>
      </c>
      <c r="H48" s="267">
        <f t="shared" ca="1" si="20"/>
        <v>0</v>
      </c>
      <c r="I48" s="267">
        <f t="shared" ca="1" si="20"/>
        <v>0</v>
      </c>
      <c r="J48" s="58" t="str">
        <f t="shared" ca="1" si="17"/>
        <v>=IF(E44&lt;=E22*0.1,0,1)</v>
      </c>
    </row>
    <row r="49" spans="2:11" x14ac:dyDescent="0.35">
      <c r="B49" s="58" t="s">
        <v>214</v>
      </c>
      <c r="D49" s="159"/>
      <c r="E49" s="159">
        <f ca="1">IF(E48=0,E46*E44,E47*E44)</f>
        <v>0</v>
      </c>
      <c r="F49" s="159">
        <f t="shared" ref="F49:I49" ca="1" si="21">IF(F48=0,F46*F44,F47*F44)</f>
        <v>0</v>
      </c>
      <c r="G49" s="159">
        <f t="shared" ca="1" si="21"/>
        <v>0</v>
      </c>
      <c r="H49" s="159">
        <f t="shared" ca="1" si="21"/>
        <v>0</v>
      </c>
      <c r="I49" s="159">
        <f t="shared" ca="1" si="21"/>
        <v>0</v>
      </c>
      <c r="J49" s="58" t="str">
        <f t="shared" ca="1" si="17"/>
        <v>=IF(E48=0,E46*E44,E47*E44)</v>
      </c>
    </row>
    <row r="51" spans="2:11" ht="13.9" x14ac:dyDescent="0.4">
      <c r="B51" s="176" t="str">
        <f>'Balance Sheet '!B28</f>
        <v>Long Term Debt</v>
      </c>
    </row>
    <row r="52" spans="2:11" x14ac:dyDescent="0.35">
      <c r="B52" s="58" t="s">
        <v>56</v>
      </c>
      <c r="E52" s="159">
        <f>AVERAGE(D33:E33)</f>
        <v>2580308.0178459999</v>
      </c>
      <c r="F52" s="159">
        <f>AVERAGE(E33:F33)</f>
        <v>3537674.9512919998</v>
      </c>
      <c r="G52" s="159">
        <f>AVERAGE(F33:G33)</f>
        <v>2990470.7824919997</v>
      </c>
      <c r="H52" s="159">
        <f>AVERAGE(G33:H33)</f>
        <v>2443266.6136919996</v>
      </c>
      <c r="I52" s="159">
        <f>AVERAGE(H33:I33)</f>
        <v>1896062.4448919995</v>
      </c>
      <c r="J52" s="58" t="str">
        <f t="shared" ref="J52:J62" ca="1" si="22">_xlfn.FORMULATEXT(E52)</f>
        <v>=AVERAGE(D33:E33)</v>
      </c>
    </row>
    <row r="53" spans="2:11" x14ac:dyDescent="0.35">
      <c r="B53" s="58" t="s">
        <v>215</v>
      </c>
      <c r="E53" s="178">
        <v>4.2999999999999997E-2</v>
      </c>
      <c r="F53" s="178">
        <v>4.2999999999999997E-2</v>
      </c>
      <c r="G53" s="178">
        <v>4.2999999999999997E-2</v>
      </c>
      <c r="H53" s="178">
        <v>4.2999999999999997E-2</v>
      </c>
      <c r="I53" s="178">
        <v>4.2999999999999997E-2</v>
      </c>
    </row>
    <row r="54" spans="2:11" x14ac:dyDescent="0.35">
      <c r="B54" s="58" t="s">
        <v>57</v>
      </c>
      <c r="E54" s="177">
        <f>5%+E53</f>
        <v>9.2999999999999999E-2</v>
      </c>
      <c r="F54" s="177">
        <f t="shared" ref="F54:I54" si="23">5%+F53</f>
        <v>9.2999999999999999E-2</v>
      </c>
      <c r="G54" s="177">
        <f t="shared" si="23"/>
        <v>9.2999999999999999E-2</v>
      </c>
      <c r="H54" s="177">
        <f t="shared" si="23"/>
        <v>9.2999999999999999E-2</v>
      </c>
      <c r="I54" s="177">
        <f t="shared" si="23"/>
        <v>9.2999999999999999E-2</v>
      </c>
      <c r="J54" s="58" t="str">
        <f t="shared" ca="1" si="22"/>
        <v>=5%+E53</v>
      </c>
    </row>
    <row r="55" spans="2:11" x14ac:dyDescent="0.35">
      <c r="B55" s="58" t="s">
        <v>8</v>
      </c>
      <c r="E55" s="159">
        <f>E52*E54</f>
        <v>239968.645659678</v>
      </c>
      <c r="F55" s="159">
        <f>F52*F54</f>
        <v>329003.77047015599</v>
      </c>
      <c r="G55" s="159">
        <f>G52*G54</f>
        <v>278113.78277175594</v>
      </c>
      <c r="H55" s="159">
        <f>H52*H54</f>
        <v>227223.79507335596</v>
      </c>
      <c r="I55" s="159">
        <f>I52*I54</f>
        <v>176333.80737495594</v>
      </c>
      <c r="J55" s="58" t="str">
        <f t="shared" ca="1" si="22"/>
        <v>=E52*E54</v>
      </c>
    </row>
    <row r="56" spans="2:11" x14ac:dyDescent="0.35">
      <c r="E56" s="159"/>
      <c r="F56" s="159"/>
      <c r="G56" s="159"/>
      <c r="H56" s="159"/>
      <c r="I56" s="159"/>
    </row>
    <row r="57" spans="2:11" ht="13.9" x14ac:dyDescent="0.4">
      <c r="B57" s="263" t="s">
        <v>216</v>
      </c>
      <c r="E57" s="159"/>
      <c r="F57" s="159">
        <f>'Transaction Summary'!$C$25</f>
        <v>3830.4291815999995</v>
      </c>
      <c r="G57" s="159">
        <f>'Transaction Summary'!$C$25</f>
        <v>3830.4291815999995</v>
      </c>
      <c r="H57" s="159">
        <f>'Transaction Summary'!$C$25</f>
        <v>3830.4291815999995</v>
      </c>
      <c r="I57" s="159">
        <f>'Transaction Summary'!$C$25</f>
        <v>3830.4291815999995</v>
      </c>
      <c r="J57" s="58" t="str">
        <f ca="1">_xlfn.FORMULATEXT(F57)</f>
        <v>='Transaction Summary'!$C$25</v>
      </c>
    </row>
    <row r="58" spans="2:11" x14ac:dyDescent="0.35">
      <c r="K58" s="159"/>
    </row>
    <row r="59" spans="2:11" ht="13.9" x14ac:dyDescent="0.4">
      <c r="B59" s="171" t="s">
        <v>58</v>
      </c>
      <c r="E59" s="159">
        <f ca="1">E41+E55+E49+E57</f>
        <v>239968.645659678</v>
      </c>
      <c r="F59" s="159">
        <f t="shared" ref="F59:I59" ca="1" si="24">F41+F55+F49+F57</f>
        <v>332834.19965175597</v>
      </c>
      <c r="G59" s="159">
        <f t="shared" ca="1" si="24"/>
        <v>281944.21195335593</v>
      </c>
      <c r="H59" s="159">
        <f t="shared" ca="1" si="24"/>
        <v>231054.22425495595</v>
      </c>
      <c r="I59" s="159">
        <f t="shared" ca="1" si="24"/>
        <v>180164.23655655593</v>
      </c>
      <c r="J59" s="58" t="str">
        <f t="shared" ca="1" si="22"/>
        <v>=E41+E55+E49+E57</v>
      </c>
    </row>
    <row r="60" spans="2:11" ht="13.9" x14ac:dyDescent="0.4">
      <c r="B60" s="171"/>
      <c r="E60" s="159"/>
      <c r="F60" s="159"/>
      <c r="G60" s="159"/>
      <c r="H60" s="159"/>
      <c r="I60" s="159"/>
    </row>
    <row r="61" spans="2:11" ht="13.9" x14ac:dyDescent="0.4">
      <c r="B61" s="264" t="s">
        <v>218</v>
      </c>
      <c r="E61" s="265">
        <f ca="1">('Income Statement '!F18-'Income Statement '!F15)/'Debt &amp; Equity Schedule'!E59</f>
        <v>3.9905517354882787</v>
      </c>
      <c r="F61" s="265">
        <f ca="1">('Income Statement '!G18-'Income Statement '!G15)/'Debt &amp; Equity Schedule'!F59</f>
        <v>2.9202669933287075</v>
      </c>
      <c r="G61" s="265">
        <f ca="1">('Income Statement '!H18-'Income Statement '!H15)/'Debt &amp; Equity Schedule'!G59</f>
        <v>3.4991367769413695</v>
      </c>
      <c r="H61" s="265">
        <f ca="1">('Income Statement '!I18-'Income Statement '!I15)/'Debt &amp; Equity Schedule'!H59</f>
        <v>4.3340540688272418</v>
      </c>
      <c r="I61" s="265">
        <f ca="1">('Income Statement '!J18-'Income Statement '!J15)/'Debt &amp; Equity Schedule'!I59</f>
        <v>5.6420161501396766</v>
      </c>
      <c r="J61" s="58" t="str">
        <f t="shared" ca="1" si="22"/>
        <v>=('Income Statement '!F18-'Income Statement '!F15)/'Debt &amp; Equity Schedule'!E59</v>
      </c>
    </row>
    <row r="62" spans="2:11" ht="13.9" x14ac:dyDescent="0.4">
      <c r="B62" s="264" t="s">
        <v>219</v>
      </c>
      <c r="E62" s="265">
        <f ca="1">('Balance Sheet '!I23+'Balance Sheet '!I28+'Balance Sheet '!I29)/('Income Statement '!F18-'Income Statement '!F15)</f>
        <v>3.9800000000000004</v>
      </c>
      <c r="F62" s="265">
        <f ca="1">('Balance Sheet '!J23+'Balance Sheet '!J28+'Balance Sheet '!J29)/('Income Statement '!G18-'Income Statement '!G15)</f>
        <v>3.3582215224082277</v>
      </c>
      <c r="G62" s="265">
        <f ca="1">('Balance Sheet '!K23+'Balance Sheet '!K28+'Balance Sheet '!K29)/('Income Statement '!H18-'Income Statement '!H15)</f>
        <v>2.7538770574650129</v>
      </c>
      <c r="H62" s="265">
        <f ca="1">('Balance Sheet '!L23+'Balance Sheet '!L28+'Balance Sheet '!L29)/('Income Statement '!I18-'Income Statement '!I15)</f>
        <v>2.1666279985229524</v>
      </c>
      <c r="I62" s="265">
        <f ca="1">('Balance Sheet '!M23+'Balance Sheet '!M28+'Balance Sheet '!M29)/('Income Statement '!J18-'Income Statement '!J15)</f>
        <v>1.5961407460571804</v>
      </c>
      <c r="J62" s="58" t="str">
        <f t="shared" ca="1" si="22"/>
        <v>=('Balance Sheet '!I23+'Balance Sheet '!I28+'Balance Sheet '!I29)/('Income Statement '!F18-'Income Statement '!F15)</v>
      </c>
    </row>
    <row r="64" spans="2:11" ht="13.9" x14ac:dyDescent="0.4">
      <c r="B64" s="176" t="str">
        <f>'Balance Sheet '!B8</f>
        <v>Cash and Cash Equivalents</v>
      </c>
    </row>
    <row r="65" spans="2:10" x14ac:dyDescent="0.35">
      <c r="B65" s="58" t="s">
        <v>56</v>
      </c>
      <c r="E65" s="169">
        <f>AVERAGE('Balance Sheet '!E8:I8)</f>
        <v>45121.25</v>
      </c>
      <c r="F65" s="169">
        <f ca="1">AVERAGE('Balance Sheet '!I8:J8)</f>
        <v>260825.33004519268</v>
      </c>
      <c r="G65" s="169">
        <f ca="1">AVERAGE('Balance Sheet '!J8:K8)</f>
        <v>759200.03878246807</v>
      </c>
      <c r="H65" s="169">
        <f ca="1">AVERAGE('Balance Sheet '!K8:L8)</f>
        <v>1256707.1962406912</v>
      </c>
      <c r="I65" s="169">
        <f ca="1">AVERAGE('Balance Sheet '!L8:M8)</f>
        <v>1776024.1765648001</v>
      </c>
      <c r="J65" s="58" t="str">
        <f t="shared" ref="J65:J67" ca="1" si="25">_xlfn.FORMULATEXT(E65)</f>
        <v>=AVERAGE('Balance Sheet '!E8:I8)</v>
      </c>
    </row>
    <row r="66" spans="2:10" x14ac:dyDescent="0.35">
      <c r="B66" s="58" t="s">
        <v>57</v>
      </c>
      <c r="E66" s="177">
        <v>1.4999999999999999E-2</v>
      </c>
      <c r="F66" s="177">
        <v>1.4999999999999999E-2</v>
      </c>
      <c r="G66" s="177">
        <v>1.4999999999999999E-2</v>
      </c>
      <c r="H66" s="177">
        <v>1.4999999999999999E-2</v>
      </c>
      <c r="I66" s="177">
        <v>1.4999999999999999E-2</v>
      </c>
    </row>
    <row r="67" spans="2:10" x14ac:dyDescent="0.35">
      <c r="B67" s="58" t="s">
        <v>59</v>
      </c>
      <c r="E67" s="159">
        <f>E65*E66</f>
        <v>676.81875000000002</v>
      </c>
      <c r="F67" s="159">
        <f ca="1">F65*F66</f>
        <v>3912.3799506778901</v>
      </c>
      <c r="G67" s="159">
        <f ca="1">G65*G66</f>
        <v>11388.00058173702</v>
      </c>
      <c r="H67" s="159">
        <f ca="1">H65*H66</f>
        <v>18850.607943610368</v>
      </c>
      <c r="I67" s="159">
        <f ca="1">I65*I66</f>
        <v>26640.362648472001</v>
      </c>
      <c r="J67" s="58" t="str">
        <f t="shared" ca="1" si="25"/>
        <v>=E65*E66</v>
      </c>
    </row>
    <row r="69" spans="2:10" ht="13.9" x14ac:dyDescent="0.4">
      <c r="B69" s="174" t="s">
        <v>60</v>
      </c>
    </row>
    <row r="70" spans="2:10" ht="14.25" thickBot="1" x14ac:dyDescent="0.45">
      <c r="E70" s="175">
        <f>E36</f>
        <v>2025</v>
      </c>
      <c r="F70" s="175">
        <f>F36</f>
        <v>2026</v>
      </c>
      <c r="G70" s="175">
        <f>G36</f>
        <v>2027</v>
      </c>
      <c r="H70" s="175">
        <f>H36</f>
        <v>2028</v>
      </c>
      <c r="I70" s="175">
        <f>I36</f>
        <v>2029</v>
      </c>
    </row>
    <row r="72" spans="2:10" x14ac:dyDescent="0.35">
      <c r="B72" s="58" t="s">
        <v>103</v>
      </c>
      <c r="E72" s="159">
        <f>D76</f>
        <v>1835732</v>
      </c>
      <c r="F72" s="159">
        <f>E76</f>
        <v>-575574.1234175209</v>
      </c>
      <c r="G72" s="159">
        <f>F76</f>
        <v>520966.72501139715</v>
      </c>
      <c r="H72" s="159">
        <f>G76</f>
        <v>1625237.7570328726</v>
      </c>
      <c r="I72" s="159">
        <f>H76</f>
        <v>2737743.2415926764</v>
      </c>
      <c r="J72" s="58" t="str">
        <f t="shared" ref="J72:J75" ca="1" si="26">_xlfn.FORMULATEXT(E72)</f>
        <v>=D76</v>
      </c>
    </row>
    <row r="73" spans="2:10" x14ac:dyDescent="0.35">
      <c r="B73" s="106" t="str">
        <f>'Income Statement '!B25</f>
        <v xml:space="preserve">Net income </v>
      </c>
      <c r="E73" s="106">
        <f>'Income Statement '!F25</f>
        <v>1088256.1424285357</v>
      </c>
      <c r="F73" s="106">
        <f>'Income Statement '!G25</f>
        <v>1096540.848428918</v>
      </c>
      <c r="G73" s="106">
        <f>'Income Statement '!H25</f>
        <v>1104271.0320214755</v>
      </c>
      <c r="H73" s="106">
        <f>'Income Statement '!I25</f>
        <v>1112505.4845598037</v>
      </c>
      <c r="I73" s="106">
        <f>'Income Statement '!J25</f>
        <v>1120711.1496099497</v>
      </c>
      <c r="J73" s="58" t="str">
        <f t="shared" ca="1" si="26"/>
        <v>='Income Statement '!F25</v>
      </c>
    </row>
    <row r="74" spans="2:10" x14ac:dyDescent="0.35">
      <c r="B74" s="58" t="s">
        <v>105</v>
      </c>
      <c r="E74" s="161">
        <f>'Assumptions '!D63</f>
        <v>0</v>
      </c>
      <c r="F74" s="161">
        <f>'Assumptions '!E63</f>
        <v>0</v>
      </c>
      <c r="G74" s="161">
        <f>'Assumptions '!F63</f>
        <v>0</v>
      </c>
      <c r="H74" s="161">
        <f>'Assumptions '!G63</f>
        <v>0</v>
      </c>
      <c r="I74" s="161">
        <f>'Assumptions '!H63</f>
        <v>0</v>
      </c>
      <c r="J74" s="58" t="str">
        <f t="shared" ca="1" si="26"/>
        <v>='Assumptions '!D63</v>
      </c>
    </row>
    <row r="75" spans="2:10" x14ac:dyDescent="0.35">
      <c r="B75" s="58" t="s">
        <v>104</v>
      </c>
      <c r="E75" s="170">
        <f>MIN(0, -'Assumptions '!D62*'Income Statement '!F25)</f>
        <v>0</v>
      </c>
      <c r="F75" s="170">
        <f>MIN(0, -'Assumptions '!E62*'Income Statement '!G25)</f>
        <v>0</v>
      </c>
      <c r="G75" s="170">
        <f>MIN(0, -'Assumptions '!F62*'Income Statement '!H25)</f>
        <v>0</v>
      </c>
      <c r="H75" s="170">
        <f>MIN(0, -'Assumptions '!G62*'Income Statement '!I25)</f>
        <v>0</v>
      </c>
      <c r="I75" s="170">
        <f>MIN(0, -'Assumptions '!H62*'Income Statement '!J25)</f>
        <v>0</v>
      </c>
      <c r="J75" s="58" t="str">
        <f t="shared" ca="1" si="26"/>
        <v>=MIN(0, -'Assumptions '!D62*'Income Statement '!F25)</v>
      </c>
    </row>
    <row r="76" spans="2:10" ht="13.9" x14ac:dyDescent="0.4">
      <c r="B76" s="179" t="s">
        <v>106</v>
      </c>
      <c r="D76" s="136">
        <f>'Balance Sheet '!E37</f>
        <v>1835732</v>
      </c>
      <c r="E76" s="318">
        <f>'Balance Sheet '!I37</f>
        <v>-575574.1234175209</v>
      </c>
      <c r="F76" s="172">
        <f>SUM(F72:F75)</f>
        <v>520966.72501139715</v>
      </c>
      <c r="G76" s="172">
        <f>SUM(G72:G75)</f>
        <v>1625237.7570328726</v>
      </c>
      <c r="H76" s="172">
        <f>SUM(H72:H75)</f>
        <v>2737743.2415926764</v>
      </c>
      <c r="I76" s="172">
        <f>SUM(I72:I75)</f>
        <v>3858454.3912026258</v>
      </c>
      <c r="J76" s="58" t="str">
        <f ca="1">_xlfn.FORMULATEXT(F76)</f>
        <v>=SUM(F72:F75)</v>
      </c>
    </row>
    <row r="77" spans="2:10" x14ac:dyDescent="0.35">
      <c r="E77" s="58" t="str">
        <f ca="1">_xlfn.FORMULATEXT(E76)</f>
        <v>='Balance Sheet '!I37</v>
      </c>
    </row>
  </sheetData>
  <phoneticPr fontId="10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I39"/>
  <sheetViews>
    <sheetView topLeftCell="A2" zoomScale="70" zoomScaleNormal="70" workbookViewId="0">
      <selection activeCell="E31" sqref="E31"/>
    </sheetView>
  </sheetViews>
  <sheetFormatPr defaultColWidth="9.06640625" defaultRowHeight="13.5" x14ac:dyDescent="0.35"/>
  <cols>
    <col min="1" max="1" width="2.46484375" style="58" customWidth="1"/>
    <col min="2" max="2" width="69.796875" style="58" customWidth="1"/>
    <col min="3" max="3" width="9.06640625" style="58" bestFit="1" customWidth="1"/>
    <col min="4" max="8" width="13.59765625" style="58" bestFit="1" customWidth="1"/>
    <col min="9" max="16384" width="9.06640625" style="58"/>
  </cols>
  <sheetData>
    <row r="1" spans="2:8" ht="13.9" thickBot="1" x14ac:dyDescent="0.4">
      <c r="B1" s="166"/>
      <c r="C1" s="166"/>
      <c r="D1" s="166"/>
      <c r="E1" s="166"/>
      <c r="F1" s="166"/>
      <c r="G1" s="166"/>
      <c r="H1" s="166"/>
    </row>
    <row r="2" spans="2:8" ht="14.25" thickBot="1" x14ac:dyDescent="0.45">
      <c r="B2" s="180" t="str">
        <f>'Assumptions '!C5&amp; "Cash Flow Statement"</f>
        <v>CROCS, INC.Cash Flow Statement</v>
      </c>
      <c r="C2" s="181"/>
      <c r="D2" s="181"/>
      <c r="E2" s="181"/>
      <c r="F2" s="181"/>
      <c r="G2" s="181"/>
      <c r="H2" s="181"/>
    </row>
    <row r="3" spans="2:8" ht="13.9" x14ac:dyDescent="0.4">
      <c r="B3" s="171"/>
    </row>
    <row r="4" spans="2:8" ht="13.9" x14ac:dyDescent="0.4">
      <c r="B4" s="171"/>
    </row>
    <row r="5" spans="2:8" ht="14.25" thickBot="1" x14ac:dyDescent="0.45">
      <c r="B5" s="171"/>
      <c r="D5" s="166"/>
      <c r="E5" s="166"/>
      <c r="F5" s="166"/>
      <c r="G5" s="166"/>
      <c r="H5" s="166"/>
    </row>
    <row r="6" spans="2:8" ht="14.25" thickBot="1" x14ac:dyDescent="0.45">
      <c r="B6" s="182"/>
      <c r="D6" s="168">
        <f>'Assumptions '!D12</f>
        <v>2025</v>
      </c>
      <c r="E6" s="168">
        <f>'Assumptions '!E12</f>
        <v>2026</v>
      </c>
      <c r="F6" s="168">
        <f>'Assumptions '!F12</f>
        <v>2027</v>
      </c>
      <c r="G6" s="168">
        <f>'Assumptions '!G12</f>
        <v>2028</v>
      </c>
      <c r="H6" s="168">
        <f>'Assumptions '!H12</f>
        <v>2029</v>
      </c>
    </row>
    <row r="7" spans="2:8" ht="13.9" x14ac:dyDescent="0.4">
      <c r="B7" s="182"/>
      <c r="D7" s="183"/>
      <c r="E7" s="183"/>
      <c r="F7" s="183"/>
      <c r="G7" s="183"/>
      <c r="H7" s="183"/>
    </row>
    <row r="8" spans="2:8" ht="13.9" x14ac:dyDescent="0.4">
      <c r="B8" s="184" t="s">
        <v>61</v>
      </c>
    </row>
    <row r="9" spans="2:8" x14ac:dyDescent="0.35">
      <c r="B9" s="185" t="str">
        <f>'Income Statement '!B25</f>
        <v xml:space="preserve">Net income </v>
      </c>
      <c r="D9" s="169">
        <f>'Income Statement '!F25</f>
        <v>1088256.1424285357</v>
      </c>
      <c r="E9" s="169">
        <f>'Income Statement '!G25</f>
        <v>1096540.848428918</v>
      </c>
      <c r="F9" s="169">
        <f>'Income Statement '!H25</f>
        <v>1104271.0320214755</v>
      </c>
      <c r="G9" s="169">
        <f>'Income Statement '!I25</f>
        <v>1112505.4845598037</v>
      </c>
      <c r="H9" s="169">
        <f>'Income Statement '!J25</f>
        <v>1120711.1496099497</v>
      </c>
    </row>
    <row r="10" spans="2:8" x14ac:dyDescent="0.35">
      <c r="B10" s="185" t="str">
        <f>'Income Statement '!B15</f>
        <v>Depreciation and Amortization</v>
      </c>
      <c r="D10" s="227">
        <f>-'Income Statement '!F15</f>
        <v>57389.351727523994</v>
      </c>
      <c r="E10" s="227">
        <f>-'Income Statement '!G15</f>
        <v>64887.434634838522</v>
      </c>
      <c r="F10" s="227">
        <f>-'Income Statement '!H15</f>
        <v>73082.794026258372</v>
      </c>
      <c r="G10" s="227">
        <f>-'Income Statement '!I15</f>
        <v>81104.69654085816</v>
      </c>
      <c r="H10" s="227">
        <f>-'Income Statement '!J15</f>
        <v>89398.06672740198</v>
      </c>
    </row>
    <row r="11" spans="2:8" x14ac:dyDescent="0.35">
      <c r="B11" s="185" t="str">
        <f>"(Increase) Decrease in "&amp;'Balance Sheet '!B9</f>
        <v>(Increase) Decrease in Accounts Receivable</v>
      </c>
      <c r="D11" s="227">
        <f>'Balance Sheet '!E9-'Balance Sheet '!I9</f>
        <v>-33869.088411766279</v>
      </c>
      <c r="E11" s="227">
        <f>'Balance Sheet '!I9-'Balance Sheet '!J9</f>
        <v>10358.74191687553</v>
      </c>
      <c r="F11" s="227">
        <f>'Balance Sheet '!J9-'Balance Sheet '!K9</f>
        <v>-12200.281633203034</v>
      </c>
      <c r="G11" s="227">
        <f>'Balance Sheet '!K9-'Balance Sheet '!L9</f>
        <v>-867.24758289917372</v>
      </c>
      <c r="H11" s="227">
        <f>'Balance Sheet '!L9-'Balance Sheet '!M9</f>
        <v>-6736.8208666139399</v>
      </c>
    </row>
    <row r="12" spans="2:8" x14ac:dyDescent="0.35">
      <c r="B12" s="185" t="str">
        <f>"(Increase) Decrease in "&amp;'Balance Sheet '!B10</f>
        <v>(Increase) Decrease in Inventories</v>
      </c>
      <c r="D12" s="227">
        <f>'Balance Sheet '!E10-'Balance Sheet '!I10</f>
        <v>-46854.206672371191</v>
      </c>
      <c r="E12" s="227">
        <f>'Balance Sheet '!I10-'Balance Sheet '!J10</f>
        <v>-1685.7850508107222</v>
      </c>
      <c r="F12" s="227">
        <f>'Balance Sheet '!J10-'Balance Sheet '!K10</f>
        <v>-8290.7948972602026</v>
      </c>
      <c r="G12" s="227">
        <f>'Balance Sheet '!K10-'Balance Sheet '!L10</f>
        <v>-5091.2367004994303</v>
      </c>
      <c r="H12" s="227">
        <f>'Balance Sheet '!L10-'Balance Sheet '!M10</f>
        <v>-6870.3307667204062</v>
      </c>
    </row>
    <row r="13" spans="2:8" x14ac:dyDescent="0.35">
      <c r="B13" s="185" t="str">
        <f>"(Increase) Decrease in "&amp;'Balance Sheet '!B11</f>
        <v>(Increase) Decrease in Prepaid Expenses</v>
      </c>
      <c r="D13" s="227">
        <f>'Balance Sheet '!E11-'Balance Sheet '!I11</f>
        <v>1715.0741842858333</v>
      </c>
      <c r="E13" s="227">
        <f>'Balance Sheet '!I11-'Balance Sheet '!J11</f>
        <v>-2010.81448120594</v>
      </c>
      <c r="F13" s="227">
        <f>'Balance Sheet '!J11-'Balance Sheet '!K11</f>
        <v>-138.94584800893062</v>
      </c>
      <c r="G13" s="227">
        <f>'Balance Sheet '!K11-'Balance Sheet '!L11</f>
        <v>-1108.2618828846171</v>
      </c>
      <c r="H13" s="227">
        <f>'Balance Sheet '!L11-'Balance Sheet '!M11</f>
        <v>-635.99939084508514</v>
      </c>
    </row>
    <row r="14" spans="2:8" x14ac:dyDescent="0.35">
      <c r="B14" s="185" t="str">
        <f>"(Increase) Decrease in "&amp;'Balance Sheet '!B12</f>
        <v>(Increase) Decrease in Other Current Assets</v>
      </c>
      <c r="D14" s="227">
        <f>'Balance Sheet '!E12-'Balance Sheet '!I12</f>
        <v>-4924.7074398766053</v>
      </c>
      <c r="E14" s="227">
        <f>'Balance Sheet '!I12-'Balance Sheet '!J12</f>
        <v>1787.2162425083661</v>
      </c>
      <c r="F14" s="227">
        <f>'Balance Sheet '!J12-'Balance Sheet '!K12</f>
        <v>-1630.8919562714291</v>
      </c>
      <c r="G14" s="227">
        <f>'Balance Sheet '!K12-'Balance Sheet '!L12</f>
        <v>91.743629833610612</v>
      </c>
      <c r="H14" s="227">
        <f>'Balance Sheet '!L12-'Balance Sheet '!M12</f>
        <v>-794.81161828894983</v>
      </c>
    </row>
    <row r="15" spans="2:8" x14ac:dyDescent="0.35">
      <c r="B15" s="185" t="str">
        <f>"(Increase) Decrease in "&amp;'Balance Sheet '!B21</f>
        <v>(Increase) Decrease in Accounts Payable</v>
      </c>
      <c r="D15" s="227">
        <f>'Balance Sheet '!I21-'Balance Sheet '!E21</f>
        <v>21294.032174538006</v>
      </c>
      <c r="E15" s="227">
        <f>'Balance Sheet '!J21-'Balance Sheet '!I21</f>
        <v>7924.7157545667724</v>
      </c>
      <c r="F15" s="227">
        <f>'Balance Sheet '!K21-'Balance Sheet '!J21</f>
        <v>2572.8112818254158</v>
      </c>
      <c r="G15" s="227">
        <f>'Balance Sheet '!L21-'Balance Sheet '!K21</f>
        <v>5398.8943261881359</v>
      </c>
      <c r="H15" s="227">
        <f>'Balance Sheet '!M21-'Balance Sheet '!L21</f>
        <v>4076.5555559302447</v>
      </c>
    </row>
    <row r="16" spans="2:8" x14ac:dyDescent="0.35">
      <c r="B16" s="185" t="str">
        <f>"(Increase) Decrease in "&amp;'Balance Sheet '!B22</f>
        <v>(Increase) Decrease in Accrued Expenses and Other Current Liabilities</v>
      </c>
      <c r="D16" s="227">
        <f>'Balance Sheet '!I22-'Balance Sheet '!E22</f>
        <v>-16592.352883290383</v>
      </c>
      <c r="E16" s="227">
        <f>'Balance Sheet '!J22-'Balance Sheet '!I22</f>
        <v>18908.708804309194</v>
      </c>
      <c r="F16" s="227">
        <f>'Balance Sheet '!K22-'Balance Sheet '!J22</f>
        <v>1066.850107730832</v>
      </c>
      <c r="G16" s="227">
        <f>'Balance Sheet '!L22-'Balance Sheet '!K22</f>
        <v>10299.486310768116</v>
      </c>
      <c r="H16" s="227">
        <f>'Balance Sheet '!M22-'Balance Sheet '!L22</f>
        <v>5794.7756117380341</v>
      </c>
    </row>
    <row r="17" spans="2:9" x14ac:dyDescent="0.35">
      <c r="B17" s="185" t="str">
        <f>"(Increase) Decrease in "&amp;'Balance Sheet '!B30</f>
        <v>(Increase) Decrease in Deferred Tax Liabilities</v>
      </c>
      <c r="D17" s="227">
        <f>'Balance Sheet '!I30-'Balance Sheet '!E30</f>
        <v>12568.039919999999</v>
      </c>
      <c r="E17" s="227">
        <f>'Balance Sheet '!J30-'Balance Sheet '!I30</f>
        <v>249.69447120000041</v>
      </c>
      <c r="F17" s="227">
        <f>'Balance Sheet '!K30-'Balance Sheet '!J30</f>
        <v>253.85449735200382</v>
      </c>
      <c r="G17" s="227">
        <f>'Balance Sheet '!L30-'Balance Sheet '!K30</f>
        <v>258.08938539431983</v>
      </c>
      <c r="H17" s="227">
        <f>'Balance Sheet '!M30-'Balance Sheet '!L30</f>
        <v>262.40054917843736</v>
      </c>
    </row>
    <row r="18" spans="2:9" ht="13.9" x14ac:dyDescent="0.4">
      <c r="B18" s="184" t="s">
        <v>63</v>
      </c>
      <c r="D18" s="230">
        <f>SUM(D9:D17)</f>
        <v>1078982.2850275789</v>
      </c>
      <c r="E18" s="230">
        <f>SUM(E9:E17)</f>
        <v>1196960.7607211994</v>
      </c>
      <c r="F18" s="230">
        <f>SUM(F9:F17)</f>
        <v>1158986.4275998988</v>
      </c>
      <c r="G18" s="230">
        <f>SUM(G9:G17)</f>
        <v>1202591.6485865628</v>
      </c>
      <c r="H18" s="230">
        <f>SUM(H9:H17)</f>
        <v>1205204.9854117299</v>
      </c>
    </row>
    <row r="19" spans="2:9" ht="13.9" x14ac:dyDescent="0.4">
      <c r="B19" s="184"/>
      <c r="D19" s="227"/>
      <c r="E19" s="227"/>
      <c r="F19" s="227"/>
      <c r="G19" s="227"/>
      <c r="H19" s="227"/>
    </row>
    <row r="20" spans="2:9" ht="13.9" x14ac:dyDescent="0.4">
      <c r="B20" s="184" t="s">
        <v>64</v>
      </c>
      <c r="D20" s="227"/>
      <c r="E20" s="227"/>
      <c r="F20" s="227"/>
      <c r="G20" s="227"/>
      <c r="H20" s="227"/>
    </row>
    <row r="21" spans="2:9" x14ac:dyDescent="0.35">
      <c r="B21" s="185" t="str">
        <f>"(Purchase) in "&amp;'Balance Sheet '!B13</f>
        <v>(Purchase) in Property and Equipment, Net</v>
      </c>
      <c r="D21" s="227">
        <f>-'PPE Schedule'!H8</f>
        <v>-95940.068873520737</v>
      </c>
      <c r="E21" s="227">
        <f>-'PPE Schedule'!I8</f>
        <v>-84409.399370814543</v>
      </c>
      <c r="F21" s="227">
        <f>-'PPE Schedule'!J8</f>
        <v>-92258.964379132653</v>
      </c>
      <c r="G21" s="227">
        <f>-'PPE Schedule'!K8</f>
        <v>-90306.279810276246</v>
      </c>
      <c r="H21" s="227">
        <f>-'PPE Schedule'!L8</f>
        <v>-93362.317389566786</v>
      </c>
      <c r="I21" s="136"/>
    </row>
    <row r="22" spans="2:9" x14ac:dyDescent="0.35">
      <c r="B22" s="185" t="str">
        <f>"(Purchase) in "&amp;'Balance Sheet '!B14</f>
        <v>(Purchase) in Intangible assets, net</v>
      </c>
      <c r="D22" s="227">
        <f>'Balance Sheet '!E14-'Balance Sheet '!I14</f>
        <v>2553.0100000000093</v>
      </c>
      <c r="E22" s="227">
        <f>'Balance Sheet '!I14-'Balance Sheet '!J14</f>
        <v>-31211.808899999829</v>
      </c>
      <c r="F22" s="227">
        <f>'Balance Sheet '!J14-'Balance Sheet '!K14</f>
        <v>-31731.812169000506</v>
      </c>
      <c r="G22" s="227">
        <f>'Balance Sheet '!K14-'Balance Sheet '!L14</f>
        <v>-32261.173174289986</v>
      </c>
      <c r="H22" s="227">
        <f>'Balance Sheet '!L14-'Balance Sheet '!M14</f>
        <v>-32800.06864730455</v>
      </c>
      <c r="I22" s="136"/>
    </row>
    <row r="23" spans="2:9" x14ac:dyDescent="0.35">
      <c r="B23" s="185" t="str">
        <f>"(Purchase) in "&amp;'Balance Sheet '!B15</f>
        <v>(Purchase) in Other Non-Current Assets</v>
      </c>
      <c r="D23" s="227">
        <f>'Balance Sheet '!E15-'Balance Sheet '!I15</f>
        <v>-78369.992000000086</v>
      </c>
      <c r="E23" s="227">
        <f>'Balance Sheet '!I15-'Balance Sheet '!J15</f>
        <v>-24969.44711999991</v>
      </c>
      <c r="F23" s="227">
        <f>'Balance Sheet '!J15-'Balance Sheet '!K15</f>
        <v>-25385.449735200265</v>
      </c>
      <c r="G23" s="227">
        <f>'Balance Sheet '!K15-'Balance Sheet '!L15</f>
        <v>-25808.938539432129</v>
      </c>
      <c r="H23" s="227">
        <f>'Balance Sheet '!L15-'Balance Sheet '!M15</f>
        <v>-26240.054917843547</v>
      </c>
    </row>
    <row r="24" spans="2:9" ht="13.9" x14ac:dyDescent="0.4">
      <c r="B24" s="184" t="s">
        <v>63</v>
      </c>
      <c r="D24" s="230">
        <f>SUM(D21:D23)</f>
        <v>-171757.05087352081</v>
      </c>
      <c r="E24" s="230">
        <f>SUM(E21:E23)</f>
        <v>-140590.6553908143</v>
      </c>
      <c r="F24" s="230">
        <f>SUM(F21:F23)</f>
        <v>-149376.22628333344</v>
      </c>
      <c r="G24" s="230">
        <f>SUM(G21:G23)</f>
        <v>-148376.39152399835</v>
      </c>
      <c r="H24" s="230">
        <f>SUM(H21:H23)</f>
        <v>-152402.4409547149</v>
      </c>
    </row>
    <row r="25" spans="2:9" x14ac:dyDescent="0.35">
      <c r="B25" s="187"/>
      <c r="D25" s="227"/>
      <c r="E25" s="227"/>
      <c r="F25" s="227"/>
      <c r="G25" s="227"/>
      <c r="H25" s="227"/>
    </row>
    <row r="26" spans="2:9" ht="13.9" x14ac:dyDescent="0.4">
      <c r="B26" s="184" t="s">
        <v>65</v>
      </c>
      <c r="D26" s="227"/>
      <c r="E26" s="227"/>
      <c r="F26" s="227"/>
      <c r="G26" s="227"/>
      <c r="H26" s="227"/>
    </row>
    <row r="27" spans="2:9" x14ac:dyDescent="0.35">
      <c r="B27" s="185" t="str">
        <f>"Increase (Decrease) in "&amp;'Balance Sheet '!B28</f>
        <v>Increase (Decrease) in Long Term Debt</v>
      </c>
      <c r="D27" s="227">
        <f>'Debt &amp; Equity Schedule'!E32</f>
        <v>-547204.16879999987</v>
      </c>
      <c r="E27" s="227">
        <f>'Debt &amp; Equity Schedule'!F32</f>
        <v>-547204.16879999987</v>
      </c>
      <c r="F27" s="227">
        <f>'Debt &amp; Equity Schedule'!G32</f>
        <v>-547204.16879999987</v>
      </c>
      <c r="G27" s="227">
        <f>'Debt &amp; Equity Schedule'!H32</f>
        <v>-547204.16879999987</v>
      </c>
      <c r="H27" s="227">
        <f>'Debt &amp; Equity Schedule'!I32</f>
        <v>-547204.16879999987</v>
      </c>
    </row>
    <row r="28" spans="2:9" x14ac:dyDescent="0.35">
      <c r="B28" s="185" t="str">
        <f>"Increase (Decrease) in "&amp;'Balance Sheet '!B29</f>
        <v>Increase (Decrease) in Revolving Line of Credit</v>
      </c>
      <c r="D28" s="227">
        <f ca="1">'Debt &amp; Equity Schedule'!E21</f>
        <v>0</v>
      </c>
      <c r="E28" s="227">
        <f ca="1">'Debt &amp; Equity Schedule'!F21</f>
        <v>0</v>
      </c>
      <c r="F28" s="227">
        <f ca="1">'Debt &amp; Equity Schedule'!G21</f>
        <v>0</v>
      </c>
      <c r="G28" s="227">
        <f ca="1">'Debt &amp; Equity Schedule'!H21</f>
        <v>0</v>
      </c>
      <c r="H28" s="227">
        <f ca="1">'Debt &amp; Equity Schedule'!I21</f>
        <v>0</v>
      </c>
    </row>
    <row r="29" spans="2:9" x14ac:dyDescent="0.35">
      <c r="B29" s="185" t="str">
        <f>"Increase (Decrease) in "&amp;'Balance Sheet '!B27</f>
        <v>Increase (Decrease) in Long Term Income Tax</v>
      </c>
      <c r="D29" s="227">
        <f>'Balance Sheet '!I27-'Balance Sheet '!E27</f>
        <v>-12542.602799999993</v>
      </c>
      <c r="E29" s="227">
        <f>'Balance Sheet '!J27-'Balance Sheet '!I27</f>
        <v>8739.3064920000033</v>
      </c>
      <c r="F29" s="227">
        <f>'Balance Sheet '!K27-'Balance Sheet '!J27</f>
        <v>8884.9074073201045</v>
      </c>
      <c r="G29" s="227">
        <f>'Balance Sheet '!L27-'Balance Sheet '!K27</f>
        <v>9033.1284888011869</v>
      </c>
      <c r="H29" s="227">
        <f>'Balance Sheet '!M27-'Balance Sheet '!L27</f>
        <v>9184.0192212453112</v>
      </c>
    </row>
    <row r="30" spans="2:9" x14ac:dyDescent="0.35">
      <c r="B30" s="185" t="str">
        <f>"Increase (Decrease) in "&amp;'Balance Sheet '!B31</f>
        <v>Increase (Decrease) in Other Long-Term Liabilities</v>
      </c>
      <c r="D30" s="227">
        <f>'Balance Sheet '!I31-'Balance Sheet '!E31</f>
        <v>-37543.401200000022</v>
      </c>
      <c r="E30" s="227">
        <f>'Balance Sheet '!J31-'Balance Sheet '!I31</f>
        <v>3745.4170679999806</v>
      </c>
      <c r="F30" s="227">
        <f>'Balance Sheet '!K31-'Balance Sheet '!J31</f>
        <v>3807.8174602800573</v>
      </c>
      <c r="G30" s="227">
        <f>'Balance Sheet '!L31-'Balance Sheet '!K31</f>
        <v>3871.3407809148193</v>
      </c>
      <c r="H30" s="227">
        <f>'Balance Sheet '!M31-'Balance Sheet '!L31</f>
        <v>3936.0082376765204</v>
      </c>
    </row>
    <row r="31" spans="2:9" x14ac:dyDescent="0.35">
      <c r="B31" s="185" t="str">
        <f>'Debt &amp; Equity Schedule'!B74</f>
        <v>Stock Issuance (Repurchases)</v>
      </c>
      <c r="D31" s="227">
        <f>'Debt &amp; Equity Schedule'!E9</f>
        <v>0</v>
      </c>
      <c r="E31" s="227">
        <f>'Debt &amp; Equity Schedule'!F9</f>
        <v>0</v>
      </c>
      <c r="F31" s="227">
        <f>'Debt &amp; Equity Schedule'!G9</f>
        <v>0</v>
      </c>
      <c r="G31" s="227">
        <f>'Debt &amp; Equity Schedule'!H9</f>
        <v>0</v>
      </c>
      <c r="H31" s="227">
        <f>'Debt &amp; Equity Schedule'!I9</f>
        <v>0</v>
      </c>
    </row>
    <row r="32" spans="2:9" x14ac:dyDescent="0.35">
      <c r="B32" s="185" t="str">
        <f>'Debt &amp; Equity Schedule'!B75</f>
        <v>(Dividends Payout)</v>
      </c>
      <c r="D32" s="227">
        <f>'Debt &amp; Equity Schedule'!E10</f>
        <v>0</v>
      </c>
      <c r="E32" s="227">
        <f>'Debt &amp; Equity Schedule'!F10</f>
        <v>0</v>
      </c>
      <c r="F32" s="227">
        <f>'Debt &amp; Equity Schedule'!G10</f>
        <v>0</v>
      </c>
      <c r="G32" s="227">
        <f>'Debt &amp; Equity Schedule'!H10</f>
        <v>0</v>
      </c>
      <c r="H32" s="227">
        <f>'Debt &amp; Equity Schedule'!I10</f>
        <v>0</v>
      </c>
    </row>
    <row r="33" spans="2:8" ht="13.9" x14ac:dyDescent="0.4">
      <c r="B33" s="184" t="s">
        <v>63</v>
      </c>
      <c r="D33" s="230">
        <f ca="1">SUM(D27:D32)</f>
        <v>-597290.17279999983</v>
      </c>
      <c r="E33" s="230">
        <f ca="1">SUM(E27:E32)</f>
        <v>-534719.44523999991</v>
      </c>
      <c r="F33" s="230">
        <f ca="1">SUM(F27:F32)</f>
        <v>-534511.44393239974</v>
      </c>
      <c r="G33" s="230">
        <f ca="1">SUM(G27:G32)</f>
        <v>-534299.69953028392</v>
      </c>
      <c r="H33" s="230">
        <f ca="1">SUM(H27:H32)</f>
        <v>-534084.1413410781</v>
      </c>
    </row>
    <row r="34" spans="2:8" x14ac:dyDescent="0.35">
      <c r="B34" s="136"/>
      <c r="D34" s="227"/>
      <c r="E34" s="227"/>
      <c r="F34" s="227"/>
      <c r="G34" s="227"/>
      <c r="H34" s="227"/>
    </row>
    <row r="35" spans="2:8" x14ac:dyDescent="0.35">
      <c r="B35" s="136" t="s">
        <v>66</v>
      </c>
      <c r="C35" s="136"/>
      <c r="D35" s="227">
        <f>C37</f>
        <v>180485</v>
      </c>
      <c r="E35" s="227">
        <f>D37</f>
        <v>0</v>
      </c>
      <c r="F35" s="227">
        <f ca="1">E37</f>
        <v>521650.66009038535</v>
      </c>
      <c r="G35" s="227">
        <f ca="1">F37</f>
        <v>996749.41747455089</v>
      </c>
      <c r="H35" s="227">
        <f ca="1">G37</f>
        <v>1516664.9750068316</v>
      </c>
    </row>
    <row r="36" spans="2:8" x14ac:dyDescent="0.35">
      <c r="B36" s="58" t="s">
        <v>101</v>
      </c>
      <c r="C36" s="136"/>
      <c r="D36" s="228">
        <f ca="1">D18+D24+D33</f>
        <v>309935.06135405833</v>
      </c>
      <c r="E36" s="228">
        <f ca="1">E18+E24+E33</f>
        <v>521650.66009038535</v>
      </c>
      <c r="F36" s="228">
        <f ca="1">F18+F24+F33</f>
        <v>475098.75738416554</v>
      </c>
      <c r="G36" s="228">
        <f ca="1">G18+G24+G33</f>
        <v>519915.55753228068</v>
      </c>
      <c r="H36" s="228">
        <f ca="1">H18+H24+H33</f>
        <v>518718.40311593702</v>
      </c>
    </row>
    <row r="37" spans="2:8" ht="13.9" x14ac:dyDescent="0.4">
      <c r="B37" s="136" t="s">
        <v>67</v>
      </c>
      <c r="C37" s="188">
        <f>'Balance Sheet '!E8</f>
        <v>180485</v>
      </c>
      <c r="D37" s="230">
        <f>'Balance Sheet '!I8</f>
        <v>0</v>
      </c>
      <c r="E37" s="230">
        <f ca="1">SUM(E35:E36)</f>
        <v>521650.66009038535</v>
      </c>
      <c r="F37" s="230">
        <f ca="1">SUM(F35:F36)</f>
        <v>996749.41747455089</v>
      </c>
      <c r="G37" s="230">
        <f ca="1">SUM(G35:G36)</f>
        <v>1516664.9750068316</v>
      </c>
      <c r="H37" s="230">
        <f ca="1">SUM(H35:H36)</f>
        <v>2035383.3781227686</v>
      </c>
    </row>
    <row r="39" spans="2:8" ht="13.9" x14ac:dyDescent="0.4">
      <c r="B39" s="189"/>
      <c r="D39" s="159"/>
      <c r="E39" s="159"/>
      <c r="F39" s="159"/>
      <c r="G39" s="159"/>
      <c r="H39" s="159"/>
    </row>
  </sheetData>
  <phoneticPr fontId="10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L39"/>
  <sheetViews>
    <sheetView zoomScale="70" zoomScaleNormal="70" workbookViewId="0">
      <selection activeCell="B9" sqref="B9"/>
    </sheetView>
  </sheetViews>
  <sheetFormatPr defaultColWidth="9.06640625" defaultRowHeight="13.5" x14ac:dyDescent="0.35"/>
  <cols>
    <col min="1" max="1" width="2" style="58" customWidth="1"/>
    <col min="2" max="2" width="46.33203125" style="58" customWidth="1"/>
    <col min="3" max="4" width="12" style="58" bestFit="1" customWidth="1"/>
    <col min="5" max="10" width="12.796875" style="58" bestFit="1" customWidth="1"/>
    <col min="11" max="11" width="21.06640625" style="58" customWidth="1"/>
    <col min="12" max="12" width="20.46484375" style="58" bestFit="1" customWidth="1"/>
    <col min="13" max="16384" width="9.06640625" style="58"/>
  </cols>
  <sheetData>
    <row r="1" spans="2:11" ht="13.9" thickBot="1" x14ac:dyDescent="0.4">
      <c r="B1" s="166"/>
      <c r="C1" s="166"/>
      <c r="D1" s="166"/>
      <c r="E1" s="166"/>
      <c r="F1" s="166"/>
      <c r="G1" s="166"/>
      <c r="H1" s="166"/>
      <c r="I1" s="166"/>
      <c r="J1" s="166"/>
    </row>
    <row r="2" spans="2:11" ht="14.25" thickBot="1" x14ac:dyDescent="0.45">
      <c r="B2" s="190" t="str">
        <f>'Assumptions '!C5 &amp;" Working Capital Schedule"</f>
        <v>CROCS, INC. Working Capital Schedule</v>
      </c>
      <c r="C2" s="166"/>
      <c r="D2" s="166"/>
      <c r="E2" s="166"/>
      <c r="F2" s="166"/>
      <c r="G2" s="166"/>
      <c r="H2" s="166"/>
      <c r="I2" s="166"/>
      <c r="J2" s="166"/>
    </row>
    <row r="3" spans="2:11" x14ac:dyDescent="0.35">
      <c r="B3" s="106" t="str">
        <f>'Assumptions '!B3</f>
        <v>(Dollars in Thousands Except Per Share Data)</v>
      </c>
    </row>
    <row r="4" spans="2:11" x14ac:dyDescent="0.35">
      <c r="B4" s="106"/>
    </row>
    <row r="6" spans="2:11" ht="14.25" thickBot="1" x14ac:dyDescent="0.45">
      <c r="C6" s="191"/>
      <c r="D6" s="192">
        <f>E6-1</f>
        <v>2023</v>
      </c>
      <c r="E6" s="115">
        <f>F6-1</f>
        <v>2024</v>
      </c>
      <c r="F6" s="116">
        <f>'Assumptions '!D12</f>
        <v>2025</v>
      </c>
      <c r="G6" s="116">
        <f>'Assumptions '!E12</f>
        <v>2026</v>
      </c>
      <c r="H6" s="116">
        <f>'Assumptions '!F12</f>
        <v>2027</v>
      </c>
      <c r="I6" s="116">
        <f>'Assumptions '!G12</f>
        <v>2028</v>
      </c>
      <c r="J6" s="116">
        <f>'Assumptions '!H12</f>
        <v>2029</v>
      </c>
    </row>
    <row r="7" spans="2:11" ht="13.9" x14ac:dyDescent="0.4">
      <c r="B7" s="167" t="s">
        <v>44</v>
      </c>
    </row>
    <row r="8" spans="2:11" x14ac:dyDescent="0.35">
      <c r="B8" s="193" t="s">
        <v>89</v>
      </c>
      <c r="C8" s="194"/>
      <c r="D8" s="136">
        <f>'Income Statement '!D9</f>
        <v>3962347</v>
      </c>
      <c r="E8" s="136">
        <f>'Income Statement '!E9</f>
        <v>4102108</v>
      </c>
      <c r="F8" s="136">
        <f>'Income Statement '!F9</f>
        <v>4163509.98</v>
      </c>
      <c r="G8" s="136">
        <f>'Income Statement '!G9</f>
        <v>4225933.5977999996</v>
      </c>
      <c r="H8" s="136">
        <f>'Income Statement '!H9</f>
        <v>4289397.2221380007</v>
      </c>
      <c r="I8" s="136">
        <f>'Income Statement '!I9</f>
        <v>4353919.5684865806</v>
      </c>
      <c r="J8" s="136">
        <f>'Income Statement '!J9</f>
        <v>4419519.7057811897</v>
      </c>
    </row>
    <row r="9" spans="2:11" x14ac:dyDescent="0.35">
      <c r="B9" s="195" t="s">
        <v>45</v>
      </c>
      <c r="C9" s="136"/>
      <c r="D9" s="161">
        <f>-'Income Statement '!D11</f>
        <v>1752337</v>
      </c>
      <c r="E9" s="161">
        <f>-'Income Statement '!E11</f>
        <v>1691850</v>
      </c>
      <c r="F9" s="161">
        <f>-'Income Statement '!F11</f>
        <v>1873579.4909999999</v>
      </c>
      <c r="G9" s="161">
        <f>-'Income Statement '!G11</f>
        <v>1901670.1190099998</v>
      </c>
      <c r="H9" s="161">
        <f>-'Income Statement '!H11</f>
        <v>1930228.7499621003</v>
      </c>
      <c r="I9" s="161">
        <f>-'Income Statement '!I11</f>
        <v>1959263.8058189612</v>
      </c>
      <c r="J9" s="161">
        <f>-'Income Statement '!J11</f>
        <v>1988783.8676015355</v>
      </c>
    </row>
    <row r="10" spans="2:11" x14ac:dyDescent="0.35">
      <c r="B10" s="118"/>
      <c r="D10" s="136"/>
      <c r="E10" s="136"/>
      <c r="F10" s="136"/>
      <c r="G10" s="136"/>
      <c r="H10" s="136"/>
      <c r="I10" s="136"/>
      <c r="J10" s="136"/>
    </row>
    <row r="11" spans="2:11" ht="13.9" x14ac:dyDescent="0.35">
      <c r="B11" s="196" t="s">
        <v>46</v>
      </c>
      <c r="D11" s="136"/>
      <c r="E11" s="136"/>
      <c r="F11" s="136"/>
      <c r="G11" s="136"/>
      <c r="H11" s="136"/>
      <c r="I11" s="136"/>
      <c r="J11" s="136"/>
    </row>
    <row r="12" spans="2:11" x14ac:dyDescent="0.35">
      <c r="B12" s="197" t="s">
        <v>33</v>
      </c>
      <c r="C12" s="194"/>
      <c r="D12" s="136">
        <f>'Balance Sheet '!D9</f>
        <v>326818</v>
      </c>
      <c r="E12" s="136">
        <f>'Balance Sheet '!E9</f>
        <v>279861</v>
      </c>
      <c r="F12" s="136">
        <f t="shared" ref="F12:J13" si="0">F30*F8/Days</f>
        <v>313730.08841176628</v>
      </c>
      <c r="G12" s="136">
        <f t="shared" si="0"/>
        <v>303371.34649489075</v>
      </c>
      <c r="H12" s="136">
        <f t="shared" si="0"/>
        <v>315571.62812809378</v>
      </c>
      <c r="I12" s="136">
        <f t="shared" si="0"/>
        <v>316438.87571099296</v>
      </c>
      <c r="J12" s="136">
        <f t="shared" si="0"/>
        <v>323175.6965776069</v>
      </c>
      <c r="K12" s="58" t="s">
        <v>7</v>
      </c>
    </row>
    <row r="13" spans="2:11" x14ac:dyDescent="0.35">
      <c r="B13" s="197" t="s">
        <v>34</v>
      </c>
      <c r="C13" s="194"/>
      <c r="D13" s="136">
        <f>'Balance Sheet '!D10</f>
        <v>385054</v>
      </c>
      <c r="E13" s="136">
        <f>'Balance Sheet '!E10</f>
        <v>356254</v>
      </c>
      <c r="F13" s="136">
        <f t="shared" si="0"/>
        <v>403108.20667237119</v>
      </c>
      <c r="G13" s="136">
        <f t="shared" si="0"/>
        <v>404793.99172318191</v>
      </c>
      <c r="H13" s="136">
        <f t="shared" si="0"/>
        <v>413084.78662044212</v>
      </c>
      <c r="I13" s="136">
        <f t="shared" si="0"/>
        <v>418176.02332094155</v>
      </c>
      <c r="J13" s="136">
        <f t="shared" si="0"/>
        <v>425046.35408766195</v>
      </c>
    </row>
    <row r="14" spans="2:11" x14ac:dyDescent="0.35">
      <c r="B14" s="118" t="s">
        <v>20</v>
      </c>
      <c r="C14" s="194"/>
      <c r="D14" s="136">
        <f>'Balance Sheet '!D11</f>
        <v>45129</v>
      </c>
      <c r="E14" s="136">
        <f>'Balance Sheet '!E11</f>
        <v>51623</v>
      </c>
      <c r="F14" s="136">
        <f>F8*F32</f>
        <v>49907.925815714167</v>
      </c>
      <c r="G14" s="136">
        <f>G8*G32</f>
        <v>51918.740296920107</v>
      </c>
      <c r="H14" s="136">
        <f>H8*H32</f>
        <v>52057.686144929037</v>
      </c>
      <c r="I14" s="136">
        <f>I8*I32</f>
        <v>53165.948027813654</v>
      </c>
      <c r="J14" s="136">
        <f>J8*J32</f>
        <v>53801.947418658739</v>
      </c>
    </row>
    <row r="15" spans="2:11" x14ac:dyDescent="0.35">
      <c r="B15" s="118" t="s">
        <v>21</v>
      </c>
      <c r="C15" s="194"/>
      <c r="D15" s="136">
        <f>'Balance Sheet '!D12</f>
        <v>35859</v>
      </c>
      <c r="E15" s="136">
        <f>'Balance Sheet '!E12</f>
        <v>28253</v>
      </c>
      <c r="F15" s="170">
        <f>F8*F33</f>
        <v>33177.707439876605</v>
      </c>
      <c r="G15" s="170">
        <f>G8*G33</f>
        <v>31390.491197368239</v>
      </c>
      <c r="H15" s="170">
        <f>H8*H33</f>
        <v>33021.383153639668</v>
      </c>
      <c r="I15" s="170">
        <f>I8*I33</f>
        <v>32929.639523806058</v>
      </c>
      <c r="J15" s="170">
        <f>J8*J33</f>
        <v>33724.451142095008</v>
      </c>
    </row>
    <row r="16" spans="2:11" ht="13.9" x14ac:dyDescent="0.4">
      <c r="B16" s="196" t="s">
        <v>76</v>
      </c>
      <c r="C16" s="136"/>
      <c r="D16" s="198">
        <f t="shared" ref="D16:J16" si="1">SUM(D12:D15)</f>
        <v>792860</v>
      </c>
      <c r="E16" s="198">
        <f t="shared" si="1"/>
        <v>715991</v>
      </c>
      <c r="F16" s="199">
        <f t="shared" si="1"/>
        <v>799923.92833972827</v>
      </c>
      <c r="G16" s="199">
        <f t="shared" si="1"/>
        <v>791474.56971236097</v>
      </c>
      <c r="H16" s="199">
        <f t="shared" si="1"/>
        <v>813735.4840471046</v>
      </c>
      <c r="I16" s="199">
        <f t="shared" si="1"/>
        <v>820710.4865835543</v>
      </c>
      <c r="J16" s="199">
        <f t="shared" si="1"/>
        <v>835748.4492260227</v>
      </c>
    </row>
    <row r="17" spans="2:12" x14ac:dyDescent="0.35">
      <c r="B17" s="197"/>
      <c r="D17" s="136"/>
      <c r="E17" s="136"/>
      <c r="F17" s="136"/>
      <c r="G17" s="136"/>
      <c r="H17" s="136"/>
      <c r="I17" s="136"/>
      <c r="J17" s="136"/>
    </row>
    <row r="18" spans="2:12" x14ac:dyDescent="0.35">
      <c r="B18" s="197" t="s">
        <v>37</v>
      </c>
      <c r="C18" s="194"/>
      <c r="D18" s="136">
        <f>'Balance Sheet '!D21</f>
        <v>260978</v>
      </c>
      <c r="E18" s="136">
        <f>'Balance Sheet '!E21</f>
        <v>264901</v>
      </c>
      <c r="F18" s="136">
        <f>F35*F9/Days</f>
        <v>286195.03217453801</v>
      </c>
      <c r="G18" s="136">
        <f>G35*G9/Days</f>
        <v>294119.74792910478</v>
      </c>
      <c r="H18" s="136">
        <f>H35*H9/Days</f>
        <v>296692.55921093019</v>
      </c>
      <c r="I18" s="136">
        <f>I35*I9/Days</f>
        <v>302091.45353711833</v>
      </c>
      <c r="J18" s="136">
        <f>J35*J9/Days</f>
        <v>306168.00909304857</v>
      </c>
    </row>
    <row r="19" spans="2:12" x14ac:dyDescent="0.35">
      <c r="B19" s="197" t="s">
        <v>72</v>
      </c>
      <c r="C19" s="194"/>
      <c r="D19" s="136">
        <f>'Balance Sheet '!D22</f>
        <v>413990</v>
      </c>
      <c r="E19" s="136">
        <f>'Balance Sheet '!E22</f>
        <v>475307</v>
      </c>
      <c r="F19" s="136">
        <f>F8*F36</f>
        <v>458714.64711670962</v>
      </c>
      <c r="G19" s="136">
        <f>G8*G36</f>
        <v>477623.35592101881</v>
      </c>
      <c r="H19" s="136">
        <f>H8*H36</f>
        <v>478690.20602874964</v>
      </c>
      <c r="I19" s="136">
        <f>I8*I36</f>
        <v>488989.69233951776</v>
      </c>
      <c r="J19" s="136">
        <f>J8*J36</f>
        <v>494784.46795125579</v>
      </c>
    </row>
    <row r="20" spans="2:12" x14ac:dyDescent="0.35">
      <c r="B20" s="197"/>
      <c r="C20" s="194"/>
      <c r="D20" s="170"/>
      <c r="E20" s="170"/>
      <c r="F20" s="170">
        <f>F8*F37</f>
        <v>0</v>
      </c>
      <c r="G20" s="170">
        <f>G8*G37</f>
        <v>0</v>
      </c>
      <c r="H20" s="170">
        <f>H8*H37</f>
        <v>0</v>
      </c>
      <c r="I20" s="170">
        <f>I8*I37</f>
        <v>0</v>
      </c>
      <c r="J20" s="170">
        <f>J8*J37</f>
        <v>0</v>
      </c>
    </row>
    <row r="21" spans="2:12" ht="13.9" x14ac:dyDescent="0.4">
      <c r="B21" s="196" t="s">
        <v>77</v>
      </c>
      <c r="C21" s="136"/>
      <c r="D21" s="199">
        <f t="shared" ref="D21:J21" si="2">SUM(D18:D20)</f>
        <v>674968</v>
      </c>
      <c r="E21" s="199">
        <f t="shared" si="2"/>
        <v>740208</v>
      </c>
      <c r="F21" s="199">
        <f t="shared" si="2"/>
        <v>744909.67929124762</v>
      </c>
      <c r="G21" s="199">
        <f t="shared" si="2"/>
        <v>771743.10385012359</v>
      </c>
      <c r="H21" s="199">
        <f t="shared" si="2"/>
        <v>775382.76523967984</v>
      </c>
      <c r="I21" s="199">
        <f t="shared" si="2"/>
        <v>791081.14587663603</v>
      </c>
      <c r="J21" s="199">
        <f t="shared" si="2"/>
        <v>800952.47704430437</v>
      </c>
    </row>
    <row r="22" spans="2:12" x14ac:dyDescent="0.35">
      <c r="B22" s="197"/>
    </row>
    <row r="23" spans="2:12" x14ac:dyDescent="0.35">
      <c r="B23" s="197"/>
      <c r="C23" s="136"/>
      <c r="D23" s="136"/>
      <c r="E23" s="136"/>
      <c r="F23" s="136"/>
      <c r="G23" s="136"/>
      <c r="H23" s="136"/>
      <c r="I23" s="136"/>
      <c r="J23" s="136"/>
    </row>
    <row r="25" spans="2:12" ht="13.9" x14ac:dyDescent="0.35">
      <c r="B25" s="196"/>
      <c r="C25" s="136"/>
      <c r="D25" s="136"/>
      <c r="E25" s="136"/>
      <c r="F25" s="136"/>
      <c r="G25" s="136"/>
      <c r="H25" s="136"/>
      <c r="I25" s="136"/>
      <c r="J25" s="136"/>
    </row>
    <row r="27" spans="2:12" x14ac:dyDescent="0.35">
      <c r="B27" s="197"/>
    </row>
    <row r="28" spans="2:12" ht="14.25" thickBot="1" x14ac:dyDescent="0.4">
      <c r="B28" s="196" t="s">
        <v>47</v>
      </c>
    </row>
    <row r="29" spans="2:12" ht="14.25" thickBot="1" x14ac:dyDescent="0.45">
      <c r="B29" s="197" t="s">
        <v>48</v>
      </c>
      <c r="C29" s="200">
        <v>365</v>
      </c>
      <c r="K29" s="201"/>
      <c r="L29" s="201"/>
    </row>
    <row r="30" spans="2:12" x14ac:dyDescent="0.35">
      <c r="B30" s="197" t="s">
        <v>93</v>
      </c>
      <c r="C30" s="202"/>
      <c r="D30" s="203">
        <f>D12/D8*Days</f>
        <v>30.10553341239422</v>
      </c>
      <c r="E30" s="204">
        <f>E12/E8*Days</f>
        <v>24.901651784887186</v>
      </c>
      <c r="F30" s="204">
        <f>AVERAGE(D30:E30)</f>
        <v>27.503592598640701</v>
      </c>
      <c r="G30" s="204">
        <f t="shared" ref="G30:I37" si="3">AVERAGE(E30:F30)</f>
        <v>26.202622191763943</v>
      </c>
      <c r="H30" s="204">
        <f t="shared" si="3"/>
        <v>26.853107395202322</v>
      </c>
      <c r="I30" s="204">
        <f t="shared" si="3"/>
        <v>26.527864793483133</v>
      </c>
      <c r="J30" s="204">
        <f>AVERAGE(H30:I30)</f>
        <v>26.690486094342727</v>
      </c>
    </row>
    <row r="31" spans="2:12" x14ac:dyDescent="0.35">
      <c r="B31" s="197" t="s">
        <v>92</v>
      </c>
      <c r="C31" s="202"/>
      <c r="D31" s="205">
        <f>D13/D9*Days</f>
        <v>80.204155935758934</v>
      </c>
      <c r="E31" s="206">
        <f>E13/E9*Days</f>
        <v>76.858297130360256</v>
      </c>
      <c r="F31" s="206">
        <f t="shared" ref="F31:F37" si="4">AVERAGE(D31:E31)</f>
        <v>78.531226533059595</v>
      </c>
      <c r="G31" s="206">
        <f t="shared" si="3"/>
        <v>77.694761831709926</v>
      </c>
      <c r="H31" s="206">
        <f t="shared" si="3"/>
        <v>78.112994182384767</v>
      </c>
      <c r="I31" s="206">
        <f t="shared" si="3"/>
        <v>77.903878007047354</v>
      </c>
      <c r="J31" s="206">
        <f>AVERAGE(H31:I31)</f>
        <v>78.00843609471606</v>
      </c>
    </row>
    <row r="32" spans="2:12" x14ac:dyDescent="0.35">
      <c r="B32" s="197" t="s">
        <v>95</v>
      </c>
      <c r="C32" s="207"/>
      <c r="D32" s="208">
        <f>D14/D8</f>
        <v>1.1389461851776233E-2</v>
      </c>
      <c r="E32" s="209">
        <f>E14/E8</f>
        <v>1.2584505332380327E-2</v>
      </c>
      <c r="F32" s="209">
        <f>AVERAGE(D32:E32)</f>
        <v>1.198698359207828E-2</v>
      </c>
      <c r="G32" s="209">
        <f t="shared" si="3"/>
        <v>1.2285744462229305E-2</v>
      </c>
      <c r="H32" s="209">
        <f t="shared" si="3"/>
        <v>1.2136364027153793E-2</v>
      </c>
      <c r="I32" s="209">
        <f t="shared" si="3"/>
        <v>1.2211054244691549E-2</v>
      </c>
      <c r="J32" s="209">
        <f>AVERAGE(H32:I32)</f>
        <v>1.217370913592267E-2</v>
      </c>
    </row>
    <row r="33" spans="2:10" x14ac:dyDescent="0.35">
      <c r="B33" s="118" t="s">
        <v>96</v>
      </c>
      <c r="C33" s="207"/>
      <c r="D33" s="208">
        <f>D15/D8</f>
        <v>9.0499393415064359E-3</v>
      </c>
      <c r="E33" s="209">
        <f>E15/E8</f>
        <v>6.8874344605261489E-3</v>
      </c>
      <c r="F33" s="209">
        <f t="shared" si="4"/>
        <v>7.968686901016292E-3</v>
      </c>
      <c r="G33" s="209">
        <f t="shared" si="3"/>
        <v>7.4280606807712209E-3</v>
      </c>
      <c r="H33" s="209">
        <f t="shared" si="3"/>
        <v>7.6983737908937564E-3</v>
      </c>
      <c r="I33" s="209">
        <f t="shared" si="3"/>
        <v>7.5632172358324886E-3</v>
      </c>
      <c r="J33" s="209">
        <f>AVERAGE(H33:I33)</f>
        <v>7.6307955133631221E-3</v>
      </c>
    </row>
    <row r="34" spans="2:10" x14ac:dyDescent="0.35">
      <c r="C34" s="202"/>
      <c r="D34" s="205"/>
      <c r="E34" s="206"/>
      <c r="F34" s="206"/>
      <c r="G34" s="206"/>
      <c r="H34" s="206"/>
      <c r="I34" s="206"/>
      <c r="J34" s="206"/>
    </row>
    <row r="35" spans="2:10" x14ac:dyDescent="0.35">
      <c r="B35" s="197" t="s">
        <v>94</v>
      </c>
      <c r="C35" s="202"/>
      <c r="D35" s="205">
        <f>D18/D9*Days</f>
        <v>54.35996044139911</v>
      </c>
      <c r="E35" s="206">
        <f>E18/E9*Days</f>
        <v>57.149785737506278</v>
      </c>
      <c r="F35" s="206">
        <f t="shared" si="4"/>
        <v>55.754873089452694</v>
      </c>
      <c r="G35" s="206">
        <f t="shared" si="3"/>
        <v>56.45232941347949</v>
      </c>
      <c r="H35" s="206">
        <f t="shared" si="3"/>
        <v>56.103601251466088</v>
      </c>
      <c r="I35" s="206">
        <f t="shared" si="3"/>
        <v>56.277965332472789</v>
      </c>
      <c r="J35" s="206">
        <f>AVERAGE(H35:I35)</f>
        <v>56.190783291969439</v>
      </c>
    </row>
    <row r="36" spans="2:10" x14ac:dyDescent="0.35">
      <c r="B36" s="197" t="s">
        <v>97</v>
      </c>
      <c r="C36" s="207"/>
      <c r="D36" s="208">
        <f>D19/D8</f>
        <v>0.10448100582811147</v>
      </c>
      <c r="E36" s="209">
        <f>E19/E8</f>
        <v>0.11586896298195952</v>
      </c>
      <c r="F36" s="209">
        <f t="shared" si="4"/>
        <v>0.11017498440503549</v>
      </c>
      <c r="G36" s="209">
        <f t="shared" si="3"/>
        <v>0.11302197369349751</v>
      </c>
      <c r="H36" s="209">
        <f t="shared" si="3"/>
        <v>0.11159847904926651</v>
      </c>
      <c r="I36" s="209">
        <f t="shared" si="3"/>
        <v>0.11231022637138201</v>
      </c>
      <c r="J36" s="209">
        <f>AVERAGE(H36:I36)</f>
        <v>0.11195435271032425</v>
      </c>
    </row>
    <row r="37" spans="2:10" ht="13.9" thickBot="1" x14ac:dyDescent="0.4">
      <c r="B37" s="58" t="s">
        <v>98</v>
      </c>
      <c r="D37" s="210">
        <f>D20/D8</f>
        <v>0</v>
      </c>
      <c r="E37" s="211">
        <f>E20/E8</f>
        <v>0</v>
      </c>
      <c r="F37" s="211">
        <f t="shared" si="4"/>
        <v>0</v>
      </c>
      <c r="G37" s="211">
        <f t="shared" si="3"/>
        <v>0</v>
      </c>
      <c r="H37" s="211">
        <f t="shared" si="3"/>
        <v>0</v>
      </c>
      <c r="I37" s="211">
        <f t="shared" si="3"/>
        <v>0</v>
      </c>
      <c r="J37" s="211">
        <f>AVERAGE(H37:I37)</f>
        <v>0</v>
      </c>
    </row>
    <row r="38" spans="2:10" x14ac:dyDescent="0.35">
      <c r="F38" s="202"/>
      <c r="G38" s="202"/>
      <c r="H38" s="202"/>
      <c r="I38" s="202"/>
      <c r="J38" s="202"/>
    </row>
    <row r="39" spans="2:10" x14ac:dyDescent="0.35">
      <c r="B39" s="197"/>
      <c r="D39" s="212"/>
      <c r="E39" s="212"/>
      <c r="F39" s="212"/>
      <c r="G39" s="212"/>
      <c r="H39" s="212"/>
      <c r="I39" s="212"/>
      <c r="J39" s="212"/>
    </row>
  </sheetData>
  <phoneticPr fontId="10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N31"/>
  <sheetViews>
    <sheetView zoomScale="80" zoomScaleNormal="80" workbookViewId="0">
      <selection activeCell="E14" sqref="E14"/>
    </sheetView>
  </sheetViews>
  <sheetFormatPr defaultColWidth="9.06640625" defaultRowHeight="13.5" x14ac:dyDescent="0.35"/>
  <cols>
    <col min="1" max="1" width="2.46484375" style="58" customWidth="1"/>
    <col min="2" max="2" width="44.796875" style="58" customWidth="1"/>
    <col min="3" max="5" width="11.59765625" style="58" customWidth="1"/>
    <col min="6" max="6" width="11.796875" style="58" customWidth="1"/>
    <col min="7" max="7" width="15.46484375" style="58" customWidth="1"/>
    <col min="8" max="12" width="11.796875" style="58" customWidth="1"/>
    <col min="13" max="16384" width="9.06640625" style="58"/>
  </cols>
  <sheetData>
    <row r="1" spans="2:14" ht="13.9" thickBot="1" x14ac:dyDescent="0.4"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</row>
    <row r="2" spans="2:14" ht="14.25" thickBot="1" x14ac:dyDescent="0.45">
      <c r="B2" s="190" t="str">
        <f>'Assumptions '!C5 &amp;" PPE Schedule"</f>
        <v>CROCS, INC. PPE Schedule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</row>
    <row r="3" spans="2:14" x14ac:dyDescent="0.35">
      <c r="B3" s="106" t="str">
        <f>'Assumptions '!B3</f>
        <v>(Dollars in Thousands Except Per Share Data)</v>
      </c>
    </row>
    <row r="4" spans="2:14" ht="13.9" x14ac:dyDescent="0.4">
      <c r="B4" s="213"/>
    </row>
    <row r="5" spans="2:14" ht="13.9" thickBot="1" x14ac:dyDescent="0.4">
      <c r="F5" s="166"/>
      <c r="G5" s="166"/>
      <c r="H5" s="166"/>
      <c r="I5" s="166"/>
      <c r="J5" s="166"/>
      <c r="K5" s="166"/>
      <c r="L5" s="166"/>
    </row>
    <row r="6" spans="2:14" ht="14.25" thickBot="1" x14ac:dyDescent="0.45">
      <c r="B6" s="45"/>
      <c r="F6" s="214">
        <f>G6-1</f>
        <v>2023</v>
      </c>
      <c r="G6" s="214">
        <f>H6-1</f>
        <v>2024</v>
      </c>
      <c r="H6" s="168">
        <f>H24</f>
        <v>2025</v>
      </c>
      <c r="I6" s="168">
        <f>I24</f>
        <v>2026</v>
      </c>
      <c r="J6" s="168">
        <f>J24</f>
        <v>2027</v>
      </c>
      <c r="K6" s="168">
        <f>K24</f>
        <v>2028</v>
      </c>
      <c r="L6" s="168">
        <f>L24</f>
        <v>2029</v>
      </c>
    </row>
    <row r="7" spans="2:14" x14ac:dyDescent="0.35">
      <c r="B7" s="58" t="s">
        <v>99</v>
      </c>
      <c r="F7" s="227"/>
      <c r="G7" s="227"/>
      <c r="H7" s="227">
        <f>G10</f>
        <v>244335</v>
      </c>
      <c r="I7" s="227">
        <f>H10</f>
        <v>282885.71714599669</v>
      </c>
      <c r="J7" s="227">
        <f>I10</f>
        <v>302407.68188197271</v>
      </c>
      <c r="K7" s="227">
        <f>J10</f>
        <v>321583.85223484703</v>
      </c>
      <c r="L7" s="227">
        <f>K10</f>
        <v>330785.43550426513</v>
      </c>
    </row>
    <row r="8" spans="2:14" x14ac:dyDescent="0.35">
      <c r="B8" s="58" t="s">
        <v>137</v>
      </c>
      <c r="F8" s="231">
        <v>115625</v>
      </c>
      <c r="G8" s="231">
        <v>69347</v>
      </c>
      <c r="H8" s="227">
        <f>H12*'Income Statement '!F9</f>
        <v>95940.068873520737</v>
      </c>
      <c r="I8" s="227">
        <f>I12*'Income Statement '!G9</f>
        <v>84409.399370814543</v>
      </c>
      <c r="J8" s="227">
        <f>J12*'Income Statement '!H9</f>
        <v>92258.964379132653</v>
      </c>
      <c r="K8" s="227">
        <f>K12*'Income Statement '!I9</f>
        <v>90306.279810276246</v>
      </c>
      <c r="L8" s="227">
        <f>L12*'Income Statement '!J9</f>
        <v>93362.317389566786</v>
      </c>
    </row>
    <row r="9" spans="2:14" x14ac:dyDescent="0.35">
      <c r="B9" s="58" t="s">
        <v>138</v>
      </c>
      <c r="F9" s="232">
        <v>-32415</v>
      </c>
      <c r="G9" s="232">
        <v>-46772</v>
      </c>
      <c r="H9" s="228">
        <f>-H31</f>
        <v>-57389.351727523994</v>
      </c>
      <c r="I9" s="228">
        <f>-I31</f>
        <v>-64887.434634838522</v>
      </c>
      <c r="J9" s="228">
        <f>-J31</f>
        <v>-73082.794026258372</v>
      </c>
      <c r="K9" s="228">
        <f>-K31</f>
        <v>-81104.69654085816</v>
      </c>
      <c r="L9" s="228">
        <f>-L31</f>
        <v>-89398.06672740198</v>
      </c>
    </row>
    <row r="10" spans="2:14" ht="13.9" x14ac:dyDescent="0.4">
      <c r="B10" s="58" t="s">
        <v>100</v>
      </c>
      <c r="F10" s="186">
        <f>'Balance Sheet '!D13</f>
        <v>238315</v>
      </c>
      <c r="G10" s="186">
        <f>'Balance Sheet '!E13</f>
        <v>244335</v>
      </c>
      <c r="H10" s="215">
        <f>SUM(H7:H9)</f>
        <v>282885.71714599669</v>
      </c>
      <c r="I10" s="215">
        <f>SUM(I7:I9)</f>
        <v>302407.68188197271</v>
      </c>
      <c r="J10" s="215">
        <f>SUM(J7:J9)</f>
        <v>321583.85223484703</v>
      </c>
      <c r="K10" s="215">
        <f>SUM(K7:K9)</f>
        <v>330785.43550426513</v>
      </c>
      <c r="L10" s="215">
        <f>SUM(L7:L9)</f>
        <v>334749.68616642995</v>
      </c>
    </row>
    <row r="12" spans="2:14" x14ac:dyDescent="0.35">
      <c r="B12" s="58" t="s">
        <v>90</v>
      </c>
      <c r="F12" s="216">
        <f>F8/'Income Statement '!D9</f>
        <v>2.9180937459541024E-2</v>
      </c>
      <c r="G12" s="216">
        <f>G8/'Income Statement '!E9</f>
        <v>1.6905210686798105E-2</v>
      </c>
      <c r="H12" s="216">
        <f>AVERAGE(F12:G12)</f>
        <v>2.3043074073169564E-2</v>
      </c>
      <c r="I12" s="216">
        <f>AVERAGE(G12:H12)</f>
        <v>1.9974142379983836E-2</v>
      </c>
      <c r="J12" s="216">
        <f>AVERAGE(H12:I12)</f>
        <v>2.15086082265767E-2</v>
      </c>
      <c r="K12" s="216">
        <f>AVERAGE(I12:J12)</f>
        <v>2.0741375303280268E-2</v>
      </c>
      <c r="L12" s="216">
        <f>AVERAGE(J12:K12)</f>
        <v>2.1124991764928484E-2</v>
      </c>
    </row>
    <row r="13" spans="2:14" x14ac:dyDescent="0.35">
      <c r="F13" s="178"/>
      <c r="G13" s="178"/>
      <c r="H13" s="178"/>
      <c r="I13" s="178"/>
      <c r="J13" s="178"/>
      <c r="K13" s="178"/>
      <c r="L13" s="178"/>
      <c r="M13" s="76"/>
      <c r="N13" s="76"/>
    </row>
    <row r="15" spans="2:14" x14ac:dyDescent="0.35">
      <c r="B15" s="58" t="s">
        <v>139</v>
      </c>
      <c r="F15" s="194"/>
      <c r="G15" s="161">
        <v>397790</v>
      </c>
    </row>
    <row r="16" spans="2:14" x14ac:dyDescent="0.35">
      <c r="B16" s="58" t="s">
        <v>85</v>
      </c>
      <c r="F16" s="161"/>
      <c r="G16" s="161"/>
    </row>
    <row r="17" spans="2:12" x14ac:dyDescent="0.35">
      <c r="B17" s="58" t="s">
        <v>87</v>
      </c>
      <c r="F17" s="161"/>
      <c r="G17" s="161">
        <v>153455</v>
      </c>
      <c r="I17" s="217"/>
    </row>
    <row r="18" spans="2:12" x14ac:dyDescent="0.35">
      <c r="B18" s="58" t="s">
        <v>86</v>
      </c>
      <c r="F18" s="136"/>
      <c r="G18" s="136">
        <f>G15-G16-G17</f>
        <v>244335</v>
      </c>
    </row>
    <row r="19" spans="2:12" x14ac:dyDescent="0.35">
      <c r="G19" s="136"/>
    </row>
    <row r="20" spans="2:12" x14ac:dyDescent="0.35">
      <c r="B20" s="58" t="s">
        <v>88</v>
      </c>
      <c r="G20" s="218">
        <f>-(G15-G16)/AVERAGE('Income Statement '!C15:E15)</f>
        <v>11.257464129727284</v>
      </c>
    </row>
    <row r="23" spans="2:12" ht="14.25" thickBot="1" x14ac:dyDescent="0.45">
      <c r="H23" s="343"/>
      <c r="I23" s="343"/>
      <c r="J23" s="343"/>
      <c r="K23" s="343"/>
      <c r="L23" s="343"/>
    </row>
    <row r="24" spans="2:12" ht="14.25" thickBot="1" x14ac:dyDescent="0.45">
      <c r="B24" s="219"/>
      <c r="C24" s="220" t="s">
        <v>49</v>
      </c>
      <c r="D24" s="220" t="s">
        <v>50</v>
      </c>
      <c r="E24" s="220" t="s">
        <v>51</v>
      </c>
      <c r="G24" s="221"/>
      <c r="H24" s="168">
        <f>'Assumptions '!D12</f>
        <v>2025</v>
      </c>
      <c r="I24" s="168">
        <f>H24+1</f>
        <v>2026</v>
      </c>
      <c r="J24" s="168">
        <f>I24+1</f>
        <v>2027</v>
      </c>
      <c r="K24" s="168">
        <f>J24+1</f>
        <v>2028</v>
      </c>
      <c r="L24" s="168">
        <f>K24+1</f>
        <v>2029</v>
      </c>
    </row>
    <row r="25" spans="2:12" x14ac:dyDescent="0.35">
      <c r="B25" s="219" t="str">
        <f>H24&amp;" Existing PPE"</f>
        <v>2025 Existing PPE</v>
      </c>
      <c r="C25" s="222">
        <f>G18</f>
        <v>244335</v>
      </c>
      <c r="D25" s="223">
        <v>0</v>
      </c>
      <c r="E25" s="224">
        <v>5</v>
      </c>
      <c r="G25" s="58">
        <f t="shared" ref="G25:G30" si="0">LEFT(B25,4)*1</f>
        <v>2025</v>
      </c>
      <c r="H25" s="136">
        <f>IF(AND($G25&lt;=H$24, $G25+$E25&gt;H$24),SLN($C25,$C25*$D25,$E25), 0)</f>
        <v>48867</v>
      </c>
      <c r="I25" s="136">
        <f>IF(AND($G25&lt;=I$24, $G25+$E25&gt;I$24),SLN($C25,$C25*$D25,$E25), 0)</f>
        <v>48867</v>
      </c>
      <c r="J25" s="136">
        <f>IF(AND($G25&lt;=J$24, $G25+$E25&gt;J$24),SLN($C25,$C25*$D25,$E25), 0)</f>
        <v>48867</v>
      </c>
      <c r="K25" s="136">
        <f>IF(AND($G25&lt;=K$24, $G25+$E25&gt;K$24),SLN($C25,$C25*$D25,$E25), 0)</f>
        <v>48867</v>
      </c>
      <c r="L25" s="136">
        <f>IF(AND($G25&lt;=L$24, $G25+$E25&gt;L$24),SLN($C25,$C25*$D25,$E25), 0)</f>
        <v>48867</v>
      </c>
    </row>
    <row r="26" spans="2:12" x14ac:dyDescent="0.35">
      <c r="B26" s="219" t="str">
        <f>H24&amp;" CAPEX"</f>
        <v>2025 CAPEX</v>
      </c>
      <c r="C26" s="225" cm="1">
        <f t="array" ref="C26:C30">TRANSPOSE(H8:L8)</f>
        <v>95940.068873520737</v>
      </c>
      <c r="D26" s="223">
        <v>0</v>
      </c>
      <c r="E26" s="226">
        <f>$G$20</f>
        <v>11.257464129727284</v>
      </c>
      <c r="G26" s="58">
        <f t="shared" si="0"/>
        <v>2025</v>
      </c>
      <c r="H26" s="136">
        <f t="shared" ref="H26:L30" si="1">IF(AND($G26&lt;=H$24, $G26+$E26&gt;H$24),SLN($C26,$C26*$D26,$E26), 0)</f>
        <v>8522.3517275239956</v>
      </c>
      <c r="I26" s="136">
        <f t="shared" si="1"/>
        <v>8522.3517275239956</v>
      </c>
      <c r="J26" s="136">
        <f t="shared" si="1"/>
        <v>8522.3517275239956</v>
      </c>
      <c r="K26" s="136">
        <f t="shared" si="1"/>
        <v>8522.3517275239956</v>
      </c>
      <c r="L26" s="136">
        <f t="shared" si="1"/>
        <v>8522.3517275239956</v>
      </c>
    </row>
    <row r="27" spans="2:12" x14ac:dyDescent="0.35">
      <c r="B27" s="219" t="str">
        <f>I24&amp;" CAPEX"</f>
        <v>2026 CAPEX</v>
      </c>
      <c r="C27" s="225">
        <v>84409.399370814543</v>
      </c>
      <c r="D27" s="223">
        <v>0</v>
      </c>
      <c r="E27" s="226">
        <f>$G$20</f>
        <v>11.257464129727284</v>
      </c>
      <c r="G27" s="58">
        <f t="shared" si="0"/>
        <v>2026</v>
      </c>
      <c r="H27" s="136">
        <f t="shared" si="1"/>
        <v>0</v>
      </c>
      <c r="I27" s="136">
        <f t="shared" si="1"/>
        <v>7498.082907314526</v>
      </c>
      <c r="J27" s="136">
        <f t="shared" si="1"/>
        <v>7498.082907314526</v>
      </c>
      <c r="K27" s="136">
        <f t="shared" si="1"/>
        <v>7498.082907314526</v>
      </c>
      <c r="L27" s="136">
        <f t="shared" si="1"/>
        <v>7498.082907314526</v>
      </c>
    </row>
    <row r="28" spans="2:12" x14ac:dyDescent="0.35">
      <c r="B28" s="219" t="str">
        <f>J24&amp;" CAPEX"</f>
        <v>2027 CAPEX</v>
      </c>
      <c r="C28" s="225">
        <v>92258.964379132653</v>
      </c>
      <c r="D28" s="223">
        <v>0</v>
      </c>
      <c r="E28" s="226">
        <f>$G$20</f>
        <v>11.257464129727284</v>
      </c>
      <c r="G28" s="58">
        <f t="shared" si="0"/>
        <v>2027</v>
      </c>
      <c r="H28" s="136">
        <f t="shared" si="1"/>
        <v>0</v>
      </c>
      <c r="I28" s="136">
        <f t="shared" si="1"/>
        <v>0</v>
      </c>
      <c r="J28" s="136">
        <f t="shared" si="1"/>
        <v>8195.3593914198555</v>
      </c>
      <c r="K28" s="136">
        <f t="shared" si="1"/>
        <v>8195.3593914198555</v>
      </c>
      <c r="L28" s="136">
        <f t="shared" si="1"/>
        <v>8195.3593914198555</v>
      </c>
    </row>
    <row r="29" spans="2:12" x14ac:dyDescent="0.35">
      <c r="B29" s="219" t="str">
        <f>K24&amp;" CAPEX"</f>
        <v>2028 CAPEX</v>
      </c>
      <c r="C29" s="225">
        <v>90306.279810276246</v>
      </c>
      <c r="D29" s="223">
        <v>0</v>
      </c>
      <c r="E29" s="226">
        <f>$G$20</f>
        <v>11.257464129727284</v>
      </c>
      <c r="G29" s="58">
        <f t="shared" si="0"/>
        <v>2028</v>
      </c>
      <c r="H29" s="136">
        <f t="shared" si="1"/>
        <v>0</v>
      </c>
      <c r="I29" s="136">
        <f t="shared" si="1"/>
        <v>0</v>
      </c>
      <c r="J29" s="136">
        <f t="shared" si="1"/>
        <v>0</v>
      </c>
      <c r="K29" s="136">
        <f t="shared" si="1"/>
        <v>8021.9025145997912</v>
      </c>
      <c r="L29" s="136">
        <f t="shared" si="1"/>
        <v>8021.9025145997912</v>
      </c>
    </row>
    <row r="30" spans="2:12" x14ac:dyDescent="0.35">
      <c r="B30" s="219" t="str">
        <f>L24&amp;" CAPEX"</f>
        <v>2029 CAPEX</v>
      </c>
      <c r="C30" s="225">
        <v>93362.317389566786</v>
      </c>
      <c r="D30" s="223">
        <v>0</v>
      </c>
      <c r="E30" s="226">
        <f>$G$20</f>
        <v>11.257464129727284</v>
      </c>
      <c r="G30" s="58">
        <f t="shared" si="0"/>
        <v>2029</v>
      </c>
      <c r="H30" s="136">
        <f t="shared" si="1"/>
        <v>0</v>
      </c>
      <c r="I30" s="136">
        <f t="shared" si="1"/>
        <v>0</v>
      </c>
      <c r="J30" s="136">
        <f t="shared" si="1"/>
        <v>0</v>
      </c>
      <c r="K30" s="136">
        <f t="shared" si="1"/>
        <v>0</v>
      </c>
      <c r="L30" s="136">
        <f t="shared" si="1"/>
        <v>8293.3701865438252</v>
      </c>
    </row>
    <row r="31" spans="2:12" ht="13.9" x14ac:dyDescent="0.4">
      <c r="H31" s="215">
        <f>SUM(H25:H30)</f>
        <v>57389.351727523994</v>
      </c>
      <c r="I31" s="215">
        <f>SUM(I25:I30)</f>
        <v>64887.434634838522</v>
      </c>
      <c r="J31" s="215">
        <f>SUM(J25:J30)</f>
        <v>73082.794026258372</v>
      </c>
      <c r="K31" s="215">
        <f>SUM(K25:K30)</f>
        <v>81104.69654085816</v>
      </c>
      <c r="L31" s="215">
        <f>SUM(L25:L30)</f>
        <v>89398.06672740198</v>
      </c>
    </row>
  </sheetData>
  <mergeCells count="1">
    <mergeCell ref="H23:L23"/>
  </mergeCells>
  <phoneticPr fontId="1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命名范围</vt:lpstr>
      </vt:variant>
      <vt:variant>
        <vt:i4>2</vt:i4>
      </vt:variant>
    </vt:vector>
  </HeadingPairs>
  <TitlesOfParts>
    <vt:vector size="11" baseType="lpstr">
      <vt:lpstr>Assumptions </vt:lpstr>
      <vt:lpstr>Transaction Summary</vt:lpstr>
      <vt:lpstr>Income Statement </vt:lpstr>
      <vt:lpstr>Return</vt:lpstr>
      <vt:lpstr>Balance Sheet </vt:lpstr>
      <vt:lpstr>Debt &amp; Equity Schedule</vt:lpstr>
      <vt:lpstr>Statement of Cash Flow</vt:lpstr>
      <vt:lpstr>WC Schedule</vt:lpstr>
      <vt:lpstr>PPE Schedule</vt:lpstr>
      <vt:lpstr>'Assumptions '!Breaker</vt:lpstr>
      <vt:lpstr>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Disclosure Worldscope Database Financials</dc:title>
  <dc:creator>jd48</dc:creator>
  <dc:description>Copyright Disclosure Inc, 1996</dc:description>
  <cp:lastModifiedBy>Jasmine Lin</cp:lastModifiedBy>
  <cp:lastPrinted>2016-01-13T16:49:49Z</cp:lastPrinted>
  <dcterms:created xsi:type="dcterms:W3CDTF">1996-06-27T13:43:43Z</dcterms:created>
  <dcterms:modified xsi:type="dcterms:W3CDTF">2025-10-06T17:31:55Z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ECAD7F13-0879-46FC-94A0-9E8C7329D695</vt:lpwstr>
  </property>
</Properties>
</file>