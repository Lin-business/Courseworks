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gq\Desktop\Cornell\5110-Financial Modeling\`Individual Project\"/>
    </mc:Choice>
  </mc:AlternateContent>
  <xr:revisionPtr revIDLastSave="0" documentId="13_ncr:1_{C610E8B7-56B6-4380-9E5E-E52D95DD2CA6}" xr6:coauthVersionLast="47" xr6:coauthVersionMax="47" xr10:uidLastSave="{00000000-0000-0000-0000-000000000000}"/>
  <bookViews>
    <workbookView xWindow="-110" yWindow="-110" windowWidth="38620" windowHeight="21100" tabRatio="601" activeTab="2" xr2:uid="{00000000-000D-0000-FFFF-FFFF00000000}"/>
  </bookViews>
  <sheets>
    <sheet name="Assumptions" sheetId="4" r:id="rId1"/>
    <sheet name="Income Statement" sheetId="3" r:id="rId2"/>
    <sheet name="Balance Sheet" sheetId="2" r:id="rId3"/>
    <sheet name="SCF" sheetId="10" r:id="rId4"/>
    <sheet name="WC Schedule" sheetId="8" r:id="rId5"/>
    <sheet name="Debt &amp; Shareholder Schedule" sheetId="11" r:id="rId6"/>
    <sheet name="Fixed Asset Schedule" sheetId="7" r:id="rId7"/>
    <sheet name="Valuation" sheetId="12" r:id="rId8"/>
    <sheet name="Risk Tables" sheetId="13" r:id="rId9"/>
    <sheet name="Rating Calculation" sheetId="14" r:id="rId10"/>
    <sheet name="Ratings and Rates" sheetId="15" r:id="rId11"/>
  </sheets>
  <definedNames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DAILY_VOL" hidden="1">"c65"</definedName>
    <definedName name="IQ_AVG_EMPLOYEES" hidden="1">"c6019"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NORM" hidden="1">"c1902"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PAYOUT_RATIO" hidden="1">"c3492"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ISION_DATE_" hidden="1">39716.6338194444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8" l="1"/>
  <c r="E28" i="8"/>
  <c r="F28" i="8"/>
  <c r="G28" i="8"/>
  <c r="H28" i="8"/>
  <c r="I28" i="8"/>
  <c r="J28" i="8"/>
  <c r="G18" i="7"/>
  <c r="A1" i="15"/>
  <c r="F44" i="14"/>
  <c r="F45" i="14" s="1"/>
  <c r="E44" i="14"/>
  <c r="E45" i="14" s="1"/>
  <c r="D44" i="14"/>
  <c r="D45" i="14" s="1"/>
  <c r="C44" i="14"/>
  <c r="C45" i="14" s="1"/>
  <c r="B44" i="14"/>
  <c r="B45" i="14" s="1"/>
  <c r="M22" i="14"/>
  <c r="L22" i="14"/>
  <c r="K22" i="14"/>
  <c r="J22" i="14"/>
  <c r="I22" i="14"/>
  <c r="M21" i="14"/>
  <c r="L21" i="14"/>
  <c r="K21" i="14"/>
  <c r="J21" i="14"/>
  <c r="I21" i="14"/>
  <c r="M17" i="14"/>
  <c r="L17" i="14"/>
  <c r="K17" i="14"/>
  <c r="J17" i="14"/>
  <c r="I17" i="14"/>
  <c r="M16" i="14"/>
  <c r="L16" i="14"/>
  <c r="K16" i="14"/>
  <c r="J16" i="14"/>
  <c r="I16" i="14"/>
  <c r="M6" i="14"/>
  <c r="L6" i="14"/>
  <c r="K6" i="14"/>
  <c r="J6" i="14"/>
  <c r="I6" i="14"/>
  <c r="F6" i="14"/>
  <c r="E6" i="14"/>
  <c r="D6" i="14"/>
  <c r="C6" i="14"/>
  <c r="B6" i="14"/>
  <c r="A1" i="14"/>
  <c r="P19" i="13"/>
  <c r="M19" i="13"/>
  <c r="J19" i="13"/>
  <c r="G19" i="13"/>
  <c r="P18" i="13"/>
  <c r="M18" i="13"/>
  <c r="J18" i="13"/>
  <c r="G18" i="13"/>
  <c r="P11" i="13"/>
  <c r="M11" i="13"/>
  <c r="J11" i="13"/>
  <c r="G11" i="13"/>
  <c r="P10" i="13"/>
  <c r="M10" i="13"/>
  <c r="J10" i="13"/>
  <c r="G10" i="13"/>
  <c r="A1" i="13"/>
  <c r="C62" i="12"/>
  <c r="C61" i="12"/>
  <c r="C60" i="12"/>
  <c r="C59" i="12"/>
  <c r="C58" i="12"/>
  <c r="H57" i="12"/>
  <c r="G57" i="12"/>
  <c r="F57" i="12"/>
  <c r="E57" i="12"/>
  <c r="D57" i="12"/>
  <c r="B48" i="12"/>
  <c r="B30" i="12"/>
  <c r="C22" i="12"/>
  <c r="G21" i="12"/>
  <c r="F21" i="12"/>
  <c r="E21" i="12"/>
  <c r="D21" i="12"/>
  <c r="C21" i="12"/>
  <c r="G18" i="12"/>
  <c r="F18" i="12"/>
  <c r="E18" i="12"/>
  <c r="D18" i="12"/>
  <c r="G17" i="12"/>
  <c r="F17" i="12"/>
  <c r="E17" i="12"/>
  <c r="D17" i="12"/>
  <c r="G16" i="12"/>
  <c r="F16" i="12"/>
  <c r="E16" i="12"/>
  <c r="D16" i="12"/>
  <c r="G15" i="12"/>
  <c r="F15" i="12"/>
  <c r="E15" i="12"/>
  <c r="D15" i="12"/>
  <c r="G14" i="12"/>
  <c r="F14" i="12"/>
  <c r="E14" i="12"/>
  <c r="D14" i="12"/>
  <c r="G13" i="12"/>
  <c r="F13" i="12"/>
  <c r="E13" i="12"/>
  <c r="D13" i="12"/>
  <c r="C13" i="12"/>
  <c r="B9" i="12"/>
  <c r="A9" i="12"/>
  <c r="B8" i="12"/>
  <c r="B7" i="12"/>
  <c r="A4" i="12"/>
  <c r="A1" i="12"/>
  <c r="K21" i="7"/>
  <c r="J21" i="7"/>
  <c r="I21" i="7"/>
  <c r="H21" i="7"/>
  <c r="G21" i="7"/>
  <c r="K20" i="7"/>
  <c r="J20" i="7"/>
  <c r="I20" i="7"/>
  <c r="H20" i="7"/>
  <c r="G20" i="7"/>
  <c r="G19" i="7" a="1"/>
  <c r="G19" i="7"/>
  <c r="K18" i="7"/>
  <c r="J18" i="7"/>
  <c r="I18" i="7"/>
  <c r="H18" i="7"/>
  <c r="K17" i="7"/>
  <c r="J17" i="7"/>
  <c r="I17" i="7"/>
  <c r="H17" i="7"/>
  <c r="G17" i="7"/>
  <c r="K13" i="7"/>
  <c r="J13" i="7"/>
  <c r="I13" i="7"/>
  <c r="H13" i="7"/>
  <c r="G13" i="7"/>
  <c r="K12" i="7"/>
  <c r="J12" i="7"/>
  <c r="I12" i="7"/>
  <c r="H12" i="7"/>
  <c r="G12" i="7"/>
  <c r="F12" i="7"/>
  <c r="K11" i="7"/>
  <c r="J11" i="7"/>
  <c r="I11" i="7"/>
  <c r="H11" i="7"/>
  <c r="G11" i="7"/>
  <c r="F11" i="7"/>
  <c r="K10" i="7"/>
  <c r="J10" i="7"/>
  <c r="I10" i="7"/>
  <c r="H10" i="7"/>
  <c r="G10" i="7"/>
  <c r="F10" i="7"/>
  <c r="K9" i="7"/>
  <c r="J9" i="7"/>
  <c r="I9" i="7"/>
  <c r="H9" i="7"/>
  <c r="G9" i="7"/>
  <c r="F9" i="7"/>
  <c r="K8" i="7"/>
  <c r="J8" i="7"/>
  <c r="I8" i="7"/>
  <c r="H8" i="7"/>
  <c r="G8" i="7"/>
  <c r="F8" i="7"/>
  <c r="K7" i="7"/>
  <c r="J7" i="7"/>
  <c r="I7" i="7"/>
  <c r="H7" i="7"/>
  <c r="G7" i="7"/>
  <c r="F7" i="7"/>
  <c r="B7" i="7"/>
  <c r="K6" i="7"/>
  <c r="J6" i="7"/>
  <c r="I6" i="7"/>
  <c r="H6" i="7"/>
  <c r="G6" i="7"/>
  <c r="A4" i="7"/>
  <c r="A1" i="7"/>
  <c r="D53" i="11"/>
  <c r="I52" i="11"/>
  <c r="H52" i="11"/>
  <c r="G52" i="11"/>
  <c r="F52" i="11"/>
  <c r="E52" i="11"/>
  <c r="E49" i="11"/>
  <c r="I47" i="11"/>
  <c r="H47" i="11"/>
  <c r="G47" i="11"/>
  <c r="F47" i="11"/>
  <c r="E47" i="11"/>
  <c r="I38" i="11"/>
  <c r="H38" i="11"/>
  <c r="G38" i="11"/>
  <c r="F38" i="11"/>
  <c r="E38" i="11"/>
  <c r="I36" i="11"/>
  <c r="H36" i="11"/>
  <c r="G36" i="11"/>
  <c r="F36" i="11"/>
  <c r="E36" i="11"/>
  <c r="I29" i="11"/>
  <c r="H29" i="11"/>
  <c r="G29" i="11"/>
  <c r="F29" i="11"/>
  <c r="E29" i="11"/>
  <c r="I25" i="11"/>
  <c r="H25" i="11"/>
  <c r="G25" i="11"/>
  <c r="F25" i="11"/>
  <c r="E25" i="11"/>
  <c r="D25" i="11"/>
  <c r="I24" i="11"/>
  <c r="H24" i="11"/>
  <c r="G24" i="11"/>
  <c r="F24" i="11"/>
  <c r="E24" i="11"/>
  <c r="I23" i="11"/>
  <c r="H23" i="11"/>
  <c r="G23" i="11"/>
  <c r="F23" i="11"/>
  <c r="E23" i="11"/>
  <c r="D20" i="11"/>
  <c r="E18" i="11"/>
  <c r="I14" i="11"/>
  <c r="H14" i="11"/>
  <c r="G14" i="11"/>
  <c r="F14" i="11"/>
  <c r="E14" i="11"/>
  <c r="I13" i="11"/>
  <c r="H13" i="11"/>
  <c r="G13" i="11"/>
  <c r="F13" i="11"/>
  <c r="E13" i="11"/>
  <c r="I11" i="11"/>
  <c r="H11" i="11"/>
  <c r="G11" i="11"/>
  <c r="F11" i="11"/>
  <c r="E11" i="11"/>
  <c r="E10" i="11"/>
  <c r="I9" i="11"/>
  <c r="H9" i="11"/>
  <c r="G9" i="11"/>
  <c r="F9" i="11"/>
  <c r="E9" i="11"/>
  <c r="I8" i="11"/>
  <c r="H8" i="11"/>
  <c r="G8" i="11"/>
  <c r="F8" i="11"/>
  <c r="E8" i="11"/>
  <c r="A8" i="11"/>
  <c r="I6" i="11"/>
  <c r="H6" i="11"/>
  <c r="G6" i="11"/>
  <c r="F6" i="11"/>
  <c r="E6" i="11"/>
  <c r="I4" i="11"/>
  <c r="H4" i="11"/>
  <c r="G4" i="11"/>
  <c r="F4" i="11"/>
  <c r="E4" i="11"/>
  <c r="A1" i="11"/>
  <c r="J36" i="8"/>
  <c r="I36" i="8"/>
  <c r="H36" i="8"/>
  <c r="G36" i="8"/>
  <c r="F36" i="8"/>
  <c r="E36" i="8"/>
  <c r="D36" i="8"/>
  <c r="C36" i="8"/>
  <c r="J35" i="8"/>
  <c r="I35" i="8"/>
  <c r="H35" i="8"/>
  <c r="G35" i="8"/>
  <c r="F35" i="8"/>
  <c r="E35" i="8"/>
  <c r="D35" i="8"/>
  <c r="C35" i="8"/>
  <c r="J34" i="8"/>
  <c r="I34" i="8"/>
  <c r="H34" i="8"/>
  <c r="G34" i="8"/>
  <c r="F34" i="8"/>
  <c r="E34" i="8"/>
  <c r="D34" i="8"/>
  <c r="C34" i="8"/>
  <c r="E33" i="8"/>
  <c r="D33" i="8"/>
  <c r="F33" i="8" s="1"/>
  <c r="C33" i="8"/>
  <c r="J31" i="8"/>
  <c r="I31" i="8"/>
  <c r="H31" i="8"/>
  <c r="G31" i="8"/>
  <c r="F31" i="8"/>
  <c r="E31" i="8"/>
  <c r="D31" i="8"/>
  <c r="C31" i="8"/>
  <c r="E30" i="8"/>
  <c r="D30" i="8"/>
  <c r="C30" i="8"/>
  <c r="E29" i="8"/>
  <c r="D29" i="8"/>
  <c r="C29" i="8"/>
  <c r="C28" i="8"/>
  <c r="E20" i="8"/>
  <c r="D20" i="8"/>
  <c r="C20" i="8"/>
  <c r="J19" i="8"/>
  <c r="I19" i="8"/>
  <c r="H19" i="8"/>
  <c r="G19" i="8"/>
  <c r="F19" i="8"/>
  <c r="E19" i="8"/>
  <c r="D19" i="8"/>
  <c r="C19" i="8"/>
  <c r="A19" i="8"/>
  <c r="J18" i="8"/>
  <c r="I18" i="8"/>
  <c r="H18" i="8"/>
  <c r="G18" i="8"/>
  <c r="F18" i="8"/>
  <c r="E18" i="8"/>
  <c r="D18" i="8"/>
  <c r="C18" i="8"/>
  <c r="J17" i="8"/>
  <c r="I17" i="8"/>
  <c r="H17" i="8"/>
  <c r="G17" i="8"/>
  <c r="F17" i="8"/>
  <c r="E17" i="8"/>
  <c r="D17" i="8"/>
  <c r="C17" i="8"/>
  <c r="E16" i="8"/>
  <c r="D16" i="8"/>
  <c r="C16" i="8"/>
  <c r="E14" i="8"/>
  <c r="D14" i="8"/>
  <c r="C14" i="8"/>
  <c r="J13" i="8"/>
  <c r="I13" i="8"/>
  <c r="H13" i="8"/>
  <c r="G13" i="8"/>
  <c r="F13" i="8"/>
  <c r="E13" i="8"/>
  <c r="D13" i="8"/>
  <c r="C13" i="8"/>
  <c r="E12" i="8"/>
  <c r="D12" i="8"/>
  <c r="C12" i="8"/>
  <c r="E11" i="8"/>
  <c r="D11" i="8"/>
  <c r="C11" i="8"/>
  <c r="J8" i="8"/>
  <c r="I8" i="8"/>
  <c r="H8" i="8"/>
  <c r="G8" i="8"/>
  <c r="F8" i="8"/>
  <c r="E8" i="8"/>
  <c r="D8" i="8"/>
  <c r="C8" i="8"/>
  <c r="J7" i="8"/>
  <c r="I7" i="8"/>
  <c r="H7" i="8"/>
  <c r="G7" i="8"/>
  <c r="F7" i="8"/>
  <c r="E7" i="8"/>
  <c r="D7" i="8"/>
  <c r="C7" i="8"/>
  <c r="A7" i="8"/>
  <c r="J5" i="8"/>
  <c r="I5" i="8"/>
  <c r="H5" i="8"/>
  <c r="G5" i="8"/>
  <c r="F5" i="8"/>
  <c r="E5" i="8"/>
  <c r="D5" i="8"/>
  <c r="C5" i="8"/>
  <c r="A4" i="8"/>
  <c r="A1" i="8"/>
  <c r="B35" i="10"/>
  <c r="F31" i="10"/>
  <c r="E31" i="10"/>
  <c r="D31" i="10"/>
  <c r="C31" i="10"/>
  <c r="B31" i="10"/>
  <c r="F30" i="10"/>
  <c r="E30" i="10"/>
  <c r="D30" i="10"/>
  <c r="C30" i="10"/>
  <c r="B30" i="10"/>
  <c r="F29" i="10"/>
  <c r="E29" i="10"/>
  <c r="D29" i="10"/>
  <c r="C29" i="10"/>
  <c r="B29" i="10"/>
  <c r="F28" i="10"/>
  <c r="E28" i="10"/>
  <c r="D28" i="10"/>
  <c r="C28" i="10"/>
  <c r="B28" i="10"/>
  <c r="B26" i="10"/>
  <c r="F23" i="10"/>
  <c r="E23" i="10"/>
  <c r="D23" i="10"/>
  <c r="C23" i="10"/>
  <c r="B23" i="10"/>
  <c r="F22" i="10"/>
  <c r="E22" i="10"/>
  <c r="D22" i="10"/>
  <c r="C22" i="10"/>
  <c r="B22" i="10"/>
  <c r="F21" i="10"/>
  <c r="E21" i="10"/>
  <c r="D21" i="10"/>
  <c r="C21" i="10"/>
  <c r="B21" i="10"/>
  <c r="F17" i="10"/>
  <c r="E17" i="10"/>
  <c r="D17" i="10"/>
  <c r="C17" i="10"/>
  <c r="B17" i="10"/>
  <c r="F16" i="10"/>
  <c r="E16" i="10"/>
  <c r="D16" i="10"/>
  <c r="C16" i="10"/>
  <c r="B16" i="10"/>
  <c r="F15" i="10"/>
  <c r="E15" i="10"/>
  <c r="D15" i="10"/>
  <c r="C15" i="10"/>
  <c r="B15" i="10"/>
  <c r="F13" i="10"/>
  <c r="E13" i="10"/>
  <c r="D13" i="10"/>
  <c r="C13" i="10"/>
  <c r="B13" i="10"/>
  <c r="F10" i="10"/>
  <c r="E10" i="10"/>
  <c r="D10" i="10"/>
  <c r="C10" i="10"/>
  <c r="B10" i="10"/>
  <c r="F6" i="10"/>
  <c r="E6" i="10"/>
  <c r="D6" i="10"/>
  <c r="C6" i="10"/>
  <c r="B6" i="10"/>
  <c r="A4" i="10"/>
  <c r="A1" i="10"/>
  <c r="D43" i="2"/>
  <c r="C43" i="2"/>
  <c r="B43" i="2"/>
  <c r="B41" i="2"/>
  <c r="I34" i="2"/>
  <c r="H34" i="2"/>
  <c r="G34" i="2"/>
  <c r="F34" i="2"/>
  <c r="E34" i="2"/>
  <c r="I33" i="2"/>
  <c r="H33" i="2"/>
  <c r="G33" i="2"/>
  <c r="F33" i="2"/>
  <c r="E33" i="2"/>
  <c r="I32" i="2"/>
  <c r="H32" i="2"/>
  <c r="G32" i="2"/>
  <c r="F32" i="2"/>
  <c r="E32" i="2"/>
  <c r="I27" i="2"/>
  <c r="H27" i="2"/>
  <c r="G27" i="2"/>
  <c r="F27" i="2"/>
  <c r="E27" i="2"/>
  <c r="I26" i="2"/>
  <c r="H26" i="2"/>
  <c r="G26" i="2"/>
  <c r="F26" i="2"/>
  <c r="E26" i="2"/>
  <c r="I25" i="2"/>
  <c r="H25" i="2"/>
  <c r="G25" i="2"/>
  <c r="F25" i="2"/>
  <c r="E25" i="2"/>
  <c r="I24" i="2"/>
  <c r="H24" i="2"/>
  <c r="G24" i="2"/>
  <c r="F24" i="2"/>
  <c r="E24" i="2"/>
  <c r="I17" i="2"/>
  <c r="H17" i="2"/>
  <c r="G17" i="2"/>
  <c r="F17" i="2"/>
  <c r="E17" i="2"/>
  <c r="I16" i="2"/>
  <c r="H16" i="2"/>
  <c r="G16" i="2"/>
  <c r="F16" i="2"/>
  <c r="E16" i="2"/>
  <c r="I15" i="2"/>
  <c r="H15" i="2"/>
  <c r="G15" i="2"/>
  <c r="F15" i="2"/>
  <c r="E15" i="2"/>
  <c r="I11" i="2"/>
  <c r="H11" i="2"/>
  <c r="G11" i="2"/>
  <c r="F11" i="2"/>
  <c r="E11" i="2"/>
  <c r="I6" i="2"/>
  <c r="H6" i="2"/>
  <c r="G6" i="2"/>
  <c r="F6" i="2"/>
  <c r="E6" i="2"/>
  <c r="D6" i="2"/>
  <c r="C6" i="2"/>
  <c r="B6" i="2"/>
  <c r="A4" i="2"/>
  <c r="A1" i="2"/>
  <c r="D21" i="3"/>
  <c r="D17" i="3"/>
  <c r="I14" i="3"/>
  <c r="H14" i="3"/>
  <c r="G14" i="3"/>
  <c r="F14" i="3"/>
  <c r="E14" i="3"/>
  <c r="I13" i="3"/>
  <c r="H13" i="3"/>
  <c r="G13" i="3"/>
  <c r="F13" i="3"/>
  <c r="E13" i="3"/>
  <c r="I12" i="3"/>
  <c r="H12" i="3"/>
  <c r="G12" i="3"/>
  <c r="F12" i="3"/>
  <c r="E12" i="3"/>
  <c r="I11" i="3"/>
  <c r="H11" i="3"/>
  <c r="G11" i="3"/>
  <c r="F11" i="3"/>
  <c r="E11" i="3"/>
  <c r="I10" i="3"/>
  <c r="H10" i="3"/>
  <c r="G10" i="3"/>
  <c r="F10" i="3"/>
  <c r="E10" i="3"/>
  <c r="I9" i="3"/>
  <c r="H9" i="3"/>
  <c r="G9" i="3"/>
  <c r="F9" i="3"/>
  <c r="E9" i="3"/>
  <c r="I8" i="3"/>
  <c r="H8" i="3"/>
  <c r="G8" i="3"/>
  <c r="F8" i="3"/>
  <c r="E8" i="3"/>
  <c r="I7" i="3"/>
  <c r="H7" i="3"/>
  <c r="G7" i="3"/>
  <c r="F7" i="3"/>
  <c r="E7" i="3"/>
  <c r="I6" i="3"/>
  <c r="H6" i="3"/>
  <c r="G6" i="3"/>
  <c r="F6" i="3"/>
  <c r="E6" i="3"/>
  <c r="D6" i="3"/>
  <c r="C6" i="3"/>
  <c r="B6" i="3"/>
  <c r="A4" i="3"/>
  <c r="A1" i="3"/>
  <c r="I111" i="4" a="1"/>
  <c r="I111" i="4"/>
  <c r="H111" i="4" a="1"/>
  <c r="H111" i="4"/>
  <c r="G111" i="4" a="1"/>
  <c r="G111" i="4"/>
  <c r="F111" i="4" a="1"/>
  <c r="F111" i="4"/>
  <c r="E111" i="4" a="1"/>
  <c r="E111" i="4"/>
  <c r="I110" i="4" a="1"/>
  <c r="I110" i="4"/>
  <c r="H110" i="4" a="1"/>
  <c r="H110" i="4"/>
  <c r="G110" i="4" a="1"/>
  <c r="G110" i="4"/>
  <c r="F110" i="4" a="1"/>
  <c r="F110" i="4"/>
  <c r="E110" i="4" a="1"/>
  <c r="E110" i="4"/>
  <c r="I109" i="4" a="1"/>
  <c r="I109" i="4"/>
  <c r="H109" i="4" a="1"/>
  <c r="H109" i="4"/>
  <c r="G109" i="4" a="1"/>
  <c r="G109" i="4"/>
  <c r="F109" i="4" a="1"/>
  <c r="F109" i="4"/>
  <c r="E109" i="4" a="1"/>
  <c r="E109" i="4"/>
  <c r="I106" i="4" a="1"/>
  <c r="I106" i="4"/>
  <c r="H106" i="4" a="1"/>
  <c r="H106" i="4"/>
  <c r="G106" i="4" a="1"/>
  <c r="G106" i="4"/>
  <c r="F106" i="4" a="1"/>
  <c r="F106" i="4"/>
  <c r="E106" i="4" a="1"/>
  <c r="E106" i="4"/>
  <c r="I105" i="4" a="1"/>
  <c r="I105" i="4"/>
  <c r="H105" i="4" a="1"/>
  <c r="H105" i="4"/>
  <c r="G105" i="4" a="1"/>
  <c r="G105" i="4"/>
  <c r="F105" i="4" a="1"/>
  <c r="F105" i="4"/>
  <c r="E105" i="4" a="1"/>
  <c r="E105" i="4"/>
  <c r="I104" i="4" a="1"/>
  <c r="I104" i="4"/>
  <c r="H104" i="4" a="1"/>
  <c r="H104" i="4"/>
  <c r="G104" i="4" a="1"/>
  <c r="G104" i="4"/>
  <c r="F104" i="4" a="1"/>
  <c r="F104" i="4"/>
  <c r="E104" i="4" a="1"/>
  <c r="E104" i="4"/>
  <c r="I101" i="4" a="1"/>
  <c r="I101" i="4"/>
  <c r="H101" i="4" a="1"/>
  <c r="H101" i="4"/>
  <c r="G101" i="4" a="1"/>
  <c r="G101" i="4"/>
  <c r="F101" i="4" a="1"/>
  <c r="F101" i="4"/>
  <c r="E101" i="4" a="1"/>
  <c r="E101" i="4"/>
  <c r="I93" i="4" a="1"/>
  <c r="I93" i="4"/>
  <c r="H93" i="4" a="1"/>
  <c r="H93" i="4"/>
  <c r="G93" i="4" a="1"/>
  <c r="G93" i="4"/>
  <c r="F93" i="4" a="1"/>
  <c r="F93" i="4"/>
  <c r="E93" i="4" a="1"/>
  <c r="E93" i="4"/>
  <c r="I83" i="4"/>
  <c r="H83" i="4"/>
  <c r="G83" i="4"/>
  <c r="F83" i="4"/>
  <c r="E83" i="4"/>
  <c r="I79" i="4" a="1"/>
  <c r="I79" i="4"/>
  <c r="H79" i="4" a="1"/>
  <c r="H79" i="4"/>
  <c r="G79" i="4" a="1"/>
  <c r="G79" i="4"/>
  <c r="F79" i="4" a="1"/>
  <c r="F79" i="4"/>
  <c r="E79" i="4" a="1"/>
  <c r="E79" i="4"/>
  <c r="I78" i="4" a="1"/>
  <c r="I78" i="4"/>
  <c r="H78" i="4" a="1"/>
  <c r="H78" i="4"/>
  <c r="G78" i="4" a="1"/>
  <c r="G78" i="4"/>
  <c r="F78" i="4" a="1"/>
  <c r="F78" i="4"/>
  <c r="E78" i="4" a="1"/>
  <c r="E78" i="4"/>
  <c r="I77" i="4" a="1"/>
  <c r="I77" i="4"/>
  <c r="H77" i="4" a="1"/>
  <c r="H77" i="4"/>
  <c r="G77" i="4" a="1"/>
  <c r="G77" i="4"/>
  <c r="F77" i="4" a="1"/>
  <c r="F77" i="4"/>
  <c r="E77" i="4" a="1"/>
  <c r="E77" i="4"/>
  <c r="I73" i="4" a="1"/>
  <c r="I73" i="4"/>
  <c r="H73" i="4" a="1"/>
  <c r="H73" i="4"/>
  <c r="G73" i="4" a="1"/>
  <c r="G73" i="4"/>
  <c r="F73" i="4" a="1"/>
  <c r="F73" i="4"/>
  <c r="E73" i="4" a="1"/>
  <c r="E73" i="4"/>
  <c r="I72" i="4" a="1"/>
  <c r="I72" i="4"/>
  <c r="H72" i="4" a="1"/>
  <c r="H72" i="4"/>
  <c r="G72" i="4" a="1"/>
  <c r="G72" i="4"/>
  <c r="F72" i="4" a="1"/>
  <c r="F72" i="4"/>
  <c r="E72" i="4" a="1"/>
  <c r="E72" i="4"/>
  <c r="I71" i="4" a="1"/>
  <c r="I71" i="4"/>
  <c r="H71" i="4" a="1"/>
  <c r="H71" i="4"/>
  <c r="G71" i="4" a="1"/>
  <c r="G71" i="4"/>
  <c r="F71" i="4" a="1"/>
  <c r="F71" i="4"/>
  <c r="E71" i="4" a="1"/>
  <c r="E71" i="4"/>
  <c r="I70" i="4" a="1"/>
  <c r="I70" i="4"/>
  <c r="H70" i="4" a="1"/>
  <c r="H70" i="4"/>
  <c r="G70" i="4" a="1"/>
  <c r="G70" i="4"/>
  <c r="F70" i="4" a="1"/>
  <c r="F70" i="4"/>
  <c r="E70" i="4" a="1"/>
  <c r="E70" i="4"/>
  <c r="I68" i="4" a="1"/>
  <c r="I68" i="4"/>
  <c r="H68" i="4" a="1"/>
  <c r="H68" i="4"/>
  <c r="G68" i="4" a="1"/>
  <c r="G68" i="4"/>
  <c r="F68" i="4" a="1"/>
  <c r="F68" i="4"/>
  <c r="E68" i="4" a="1"/>
  <c r="E68" i="4"/>
  <c r="I67" i="4"/>
  <c r="H67" i="4"/>
  <c r="G67" i="4"/>
  <c r="F67" i="4"/>
  <c r="E67" i="4"/>
  <c r="U33" i="4"/>
  <c r="T33" i="4"/>
  <c r="S33" i="4"/>
  <c r="R33" i="4"/>
  <c r="Q33" i="4"/>
  <c r="O33" i="4"/>
  <c r="N33" i="4"/>
  <c r="M33" i="4"/>
  <c r="L33" i="4"/>
  <c r="K33" i="4"/>
  <c r="I33" i="4"/>
  <c r="H33" i="4"/>
  <c r="G33" i="4"/>
  <c r="F33" i="4"/>
  <c r="E33" i="4"/>
  <c r="U17" i="4"/>
  <c r="T17" i="4"/>
  <c r="S17" i="4"/>
  <c r="R17" i="4"/>
  <c r="Q17" i="4"/>
  <c r="O17" i="4"/>
  <c r="N17" i="4"/>
  <c r="M17" i="4"/>
  <c r="L17" i="4"/>
  <c r="K17" i="4"/>
  <c r="I17" i="4"/>
  <c r="H17" i="4"/>
  <c r="G17" i="4"/>
  <c r="F17" i="4"/>
  <c r="E17" i="4"/>
  <c r="A1" i="4"/>
  <c r="F16" i="8" l="1"/>
  <c r="F30" i="8"/>
  <c r="G30" i="8" s="1"/>
  <c r="G33" i="8"/>
  <c r="F29" i="8"/>
  <c r="G12" i="8" l="1"/>
  <c r="F10" i="2" s="1"/>
  <c r="G16" i="8"/>
  <c r="E23" i="2"/>
  <c r="F20" i="8"/>
  <c r="H33" i="8"/>
  <c r="H16" i="8" s="1"/>
  <c r="F11" i="8"/>
  <c r="H30" i="8"/>
  <c r="H12" i="8" s="1"/>
  <c r="G10" i="2" s="1"/>
  <c r="D12" i="10" s="1"/>
  <c r="I30" i="8"/>
  <c r="I12" i="8" s="1"/>
  <c r="H10" i="2" s="1"/>
  <c r="E12" i="10" s="1"/>
  <c r="F12" i="8"/>
  <c r="E10" i="2" s="1"/>
  <c r="B12" i="10" s="1"/>
  <c r="I33" i="8"/>
  <c r="I16" i="8" s="1"/>
  <c r="G29" i="8"/>
  <c r="G11" i="8" l="1"/>
  <c r="I20" i="8"/>
  <c r="H23" i="2"/>
  <c r="H29" i="8"/>
  <c r="H11" i="8" s="1"/>
  <c r="E9" i="2"/>
  <c r="B11" i="10" s="1"/>
  <c r="F14" i="8"/>
  <c r="I29" i="8"/>
  <c r="I11" i="8" s="1"/>
  <c r="B14" i="10"/>
  <c r="E28" i="2"/>
  <c r="J33" i="8"/>
  <c r="J16" i="8" s="1"/>
  <c r="G20" i="8"/>
  <c r="F23" i="2"/>
  <c r="H20" i="8"/>
  <c r="G23" i="2"/>
  <c r="C12" i="10"/>
  <c r="J30" i="8"/>
  <c r="J12" i="8" s="1"/>
  <c r="I10" i="2" s="1"/>
  <c r="F12" i="10" s="1"/>
  <c r="D14" i="10" l="1"/>
  <c r="G28" i="2"/>
  <c r="C14" i="10"/>
  <c r="F28" i="2"/>
  <c r="I23" i="2"/>
  <c r="J20" i="8"/>
  <c r="H14" i="8"/>
  <c r="G9" i="2"/>
  <c r="E14" i="10"/>
  <c r="H28" i="2"/>
  <c r="J29" i="8"/>
  <c r="J11" i="8" s="1"/>
  <c r="H9" i="2"/>
  <c r="E11" i="10" s="1"/>
  <c r="F19" i="12" s="1"/>
  <c r="F20" i="12" s="1"/>
  <c r="F22" i="12" s="1"/>
  <c r="I14" i="8"/>
  <c r="F9" i="2"/>
  <c r="C11" i="10" s="1"/>
  <c r="D19" i="12" s="1"/>
  <c r="D20" i="12" s="1"/>
  <c r="D22" i="12" s="1"/>
  <c r="G14" i="8"/>
  <c r="J14" i="8" l="1"/>
  <c r="I9" i="2"/>
  <c r="F11" i="10" s="1"/>
  <c r="D11" i="10"/>
  <c r="E19" i="12" s="1"/>
  <c r="E20" i="12" s="1"/>
  <c r="E22" i="12" s="1"/>
  <c r="I28" i="2"/>
  <c r="F14" i="10"/>
  <c r="G19" i="12" l="1"/>
  <c r="G20" i="12" s="1"/>
  <c r="B35" i="12" l="1"/>
  <c r="B36" i="12" s="1"/>
  <c r="G22" i="12"/>
  <c r="B38" i="12" s="1"/>
  <c r="B37" i="12" l="1"/>
  <c r="B39" i="12" s="1"/>
  <c r="B43" i="12" s="1"/>
  <c r="G23" i="12"/>
  <c r="E8" i="2" l="1"/>
  <c r="F8" i="2"/>
  <c r="G8" i="2"/>
  <c r="H8" i="2"/>
  <c r="I8" i="2"/>
  <c r="E12" i="2"/>
  <c r="F12" i="2"/>
  <c r="G12" i="2"/>
  <c r="H12" i="2"/>
  <c r="I12" i="2"/>
  <c r="E19" i="2"/>
  <c r="F19" i="2"/>
  <c r="G19" i="2"/>
  <c r="H19" i="2"/>
  <c r="I19" i="2"/>
  <c r="E31" i="2"/>
  <c r="F31" i="2"/>
  <c r="G31" i="2"/>
  <c r="H31" i="2"/>
  <c r="I31" i="2"/>
  <c r="E35" i="2"/>
  <c r="F35" i="2"/>
  <c r="G35" i="2"/>
  <c r="H35" i="2"/>
  <c r="I35" i="2"/>
  <c r="E37" i="2"/>
  <c r="F37" i="2"/>
  <c r="G37" i="2"/>
  <c r="H37" i="2"/>
  <c r="I37" i="2"/>
  <c r="E39" i="2"/>
  <c r="F39" i="2"/>
  <c r="G39" i="2"/>
  <c r="H39" i="2"/>
  <c r="I39" i="2"/>
  <c r="E41" i="2"/>
  <c r="F41" i="2"/>
  <c r="G41" i="2"/>
  <c r="H41" i="2"/>
  <c r="I41" i="2"/>
  <c r="E43" i="2"/>
  <c r="F43" i="2"/>
  <c r="G43" i="2"/>
  <c r="H43" i="2"/>
  <c r="I43" i="2"/>
  <c r="E5" i="11"/>
  <c r="F5" i="11"/>
  <c r="G5" i="11"/>
  <c r="H5" i="11"/>
  <c r="I5" i="11"/>
  <c r="E7" i="11"/>
  <c r="F7" i="11"/>
  <c r="G7" i="11"/>
  <c r="H7" i="11"/>
  <c r="I7" i="11"/>
  <c r="F10" i="11"/>
  <c r="G10" i="11"/>
  <c r="H10" i="11"/>
  <c r="I10" i="11"/>
  <c r="E12" i="11"/>
  <c r="F12" i="11"/>
  <c r="G12" i="11"/>
  <c r="H12" i="11"/>
  <c r="I12" i="11"/>
  <c r="E15" i="11"/>
  <c r="F15" i="11"/>
  <c r="G15" i="11"/>
  <c r="H15" i="11"/>
  <c r="I15" i="11"/>
  <c r="F18" i="11"/>
  <c r="G18" i="11"/>
  <c r="H18" i="11"/>
  <c r="I18" i="11"/>
  <c r="E19" i="11"/>
  <c r="F19" i="11"/>
  <c r="G19" i="11"/>
  <c r="H19" i="11"/>
  <c r="I19" i="11"/>
  <c r="E20" i="11"/>
  <c r="F20" i="11"/>
  <c r="G20" i="11"/>
  <c r="H20" i="11"/>
  <c r="I20" i="11"/>
  <c r="E31" i="11"/>
  <c r="F31" i="11"/>
  <c r="G31" i="11"/>
  <c r="H31" i="11"/>
  <c r="I31" i="11"/>
  <c r="E33" i="11"/>
  <c r="F33" i="11"/>
  <c r="G33" i="11"/>
  <c r="H33" i="11"/>
  <c r="I33" i="11"/>
  <c r="E40" i="11"/>
  <c r="F40" i="11"/>
  <c r="G40" i="11"/>
  <c r="H40" i="11"/>
  <c r="I40" i="11"/>
  <c r="E43" i="11"/>
  <c r="F43" i="11"/>
  <c r="G43" i="11"/>
  <c r="H43" i="11"/>
  <c r="I43" i="11"/>
  <c r="E45" i="11"/>
  <c r="F45" i="11"/>
  <c r="G45" i="11"/>
  <c r="H45" i="11"/>
  <c r="I45" i="11"/>
  <c r="F49" i="11"/>
  <c r="G49" i="11"/>
  <c r="H49" i="11"/>
  <c r="I49" i="11"/>
  <c r="E50" i="11"/>
  <c r="F50" i="11"/>
  <c r="G50" i="11"/>
  <c r="H50" i="11"/>
  <c r="I50" i="11"/>
  <c r="E51" i="11"/>
  <c r="F51" i="11"/>
  <c r="G51" i="11"/>
  <c r="H51" i="11"/>
  <c r="I51" i="11"/>
  <c r="E53" i="11"/>
  <c r="F53" i="11"/>
  <c r="G53" i="11"/>
  <c r="H53" i="11"/>
  <c r="I53" i="11"/>
  <c r="E15" i="3"/>
  <c r="F15" i="3"/>
  <c r="G15" i="3"/>
  <c r="H15" i="3"/>
  <c r="I15" i="3"/>
  <c r="E16" i="3"/>
  <c r="F16" i="3"/>
  <c r="G16" i="3"/>
  <c r="H16" i="3"/>
  <c r="I16" i="3"/>
  <c r="E17" i="3"/>
  <c r="F17" i="3"/>
  <c r="G17" i="3"/>
  <c r="H17" i="3"/>
  <c r="I17" i="3"/>
  <c r="E18" i="3"/>
  <c r="F18" i="3"/>
  <c r="G18" i="3"/>
  <c r="H18" i="3"/>
  <c r="I18" i="3"/>
  <c r="E19" i="3"/>
  <c r="F19" i="3"/>
  <c r="G19" i="3"/>
  <c r="H19" i="3"/>
  <c r="I19" i="3"/>
  <c r="E20" i="3"/>
  <c r="F20" i="3"/>
  <c r="G20" i="3"/>
  <c r="H20" i="3"/>
  <c r="I20" i="3"/>
  <c r="E21" i="3"/>
  <c r="F21" i="3"/>
  <c r="G21" i="3"/>
  <c r="H21" i="3"/>
  <c r="I21" i="3"/>
  <c r="B9" i="14"/>
  <c r="C9" i="14"/>
  <c r="D9" i="14"/>
  <c r="E9" i="14"/>
  <c r="F9" i="14"/>
  <c r="I9" i="14"/>
  <c r="J9" i="14"/>
  <c r="K9" i="14"/>
  <c r="L9" i="14"/>
  <c r="M9" i="14"/>
  <c r="B10" i="14"/>
  <c r="C10" i="14"/>
  <c r="D10" i="14"/>
  <c r="E10" i="14"/>
  <c r="F10" i="14"/>
  <c r="I10" i="14"/>
  <c r="J10" i="14"/>
  <c r="K10" i="14"/>
  <c r="L10" i="14"/>
  <c r="M10" i="14"/>
  <c r="B11" i="14"/>
  <c r="C11" i="14"/>
  <c r="D11" i="14"/>
  <c r="E11" i="14"/>
  <c r="F11" i="14"/>
  <c r="B12" i="14"/>
  <c r="C12" i="14"/>
  <c r="D12" i="14"/>
  <c r="E12" i="14"/>
  <c r="F12" i="14"/>
  <c r="B16" i="14"/>
  <c r="C16" i="14"/>
  <c r="D16" i="14"/>
  <c r="E16" i="14"/>
  <c r="F16" i="14"/>
  <c r="B17" i="14"/>
  <c r="C17" i="14"/>
  <c r="D17" i="14"/>
  <c r="E17" i="14"/>
  <c r="F17" i="14"/>
  <c r="B21" i="14"/>
  <c r="C21" i="14"/>
  <c r="D21" i="14"/>
  <c r="E21" i="14"/>
  <c r="F21" i="14"/>
  <c r="B22" i="14"/>
  <c r="C22" i="14"/>
  <c r="D22" i="14"/>
  <c r="E22" i="14"/>
  <c r="F22" i="14"/>
  <c r="B26" i="14"/>
  <c r="C26" i="14"/>
  <c r="D26" i="14"/>
  <c r="E26" i="14"/>
  <c r="F26" i="14"/>
  <c r="I26" i="14"/>
  <c r="J26" i="14"/>
  <c r="K26" i="14"/>
  <c r="L26" i="14"/>
  <c r="M26" i="14"/>
  <c r="B27" i="14"/>
  <c r="C27" i="14"/>
  <c r="D27" i="14"/>
  <c r="E27" i="14"/>
  <c r="F27" i="14"/>
  <c r="I27" i="14"/>
  <c r="J27" i="14"/>
  <c r="K27" i="14"/>
  <c r="L27" i="14"/>
  <c r="M27" i="14"/>
  <c r="B29" i="14"/>
  <c r="C29" i="14"/>
  <c r="D29" i="14"/>
  <c r="E29" i="14"/>
  <c r="F29" i="14"/>
  <c r="I29" i="14"/>
  <c r="J29" i="14"/>
  <c r="K29" i="14"/>
  <c r="L29" i="14"/>
  <c r="M29" i="14"/>
  <c r="B30" i="14"/>
  <c r="C30" i="14"/>
  <c r="D30" i="14"/>
  <c r="E30" i="14"/>
  <c r="F30" i="14"/>
  <c r="I30" i="14"/>
  <c r="J30" i="14"/>
  <c r="K30" i="14"/>
  <c r="L30" i="14"/>
  <c r="M30" i="14"/>
  <c r="B31" i="14"/>
  <c r="C31" i="14"/>
  <c r="D31" i="14"/>
  <c r="E31" i="14"/>
  <c r="F31" i="14"/>
  <c r="I31" i="14"/>
  <c r="J31" i="14"/>
  <c r="K31" i="14"/>
  <c r="L31" i="14"/>
  <c r="M31" i="14"/>
  <c r="B37" i="14"/>
  <c r="C37" i="14"/>
  <c r="D37" i="14"/>
  <c r="E37" i="14"/>
  <c r="F37" i="14"/>
  <c r="I37" i="14"/>
  <c r="J37" i="14"/>
  <c r="K37" i="14"/>
  <c r="L37" i="14"/>
  <c r="M37" i="14"/>
  <c r="B46" i="14"/>
  <c r="C46" i="14"/>
  <c r="D46" i="14"/>
  <c r="E46" i="14"/>
  <c r="F46" i="14"/>
  <c r="B48" i="14"/>
  <c r="C48" i="14"/>
  <c r="D48" i="14"/>
  <c r="E48" i="14"/>
  <c r="F48" i="14"/>
  <c r="B8" i="10"/>
  <c r="C8" i="10"/>
  <c r="D8" i="10"/>
  <c r="E8" i="10"/>
  <c r="F8" i="10"/>
  <c r="B9" i="10"/>
  <c r="C9" i="10"/>
  <c r="D9" i="10"/>
  <c r="E9" i="10"/>
  <c r="F9" i="10"/>
  <c r="B18" i="10"/>
  <c r="C18" i="10"/>
  <c r="D18" i="10"/>
  <c r="E18" i="10"/>
  <c r="F18" i="10"/>
  <c r="C26" i="10"/>
  <c r="D26" i="10"/>
  <c r="E26" i="10"/>
  <c r="F26" i="10"/>
  <c r="B27" i="10"/>
  <c r="C27" i="10"/>
  <c r="D27" i="10"/>
  <c r="E27" i="10"/>
  <c r="F27" i="10"/>
  <c r="B32" i="10"/>
  <c r="C32" i="10"/>
  <c r="D32" i="10"/>
  <c r="E32" i="10"/>
  <c r="F32" i="10"/>
  <c r="B34" i="10"/>
  <c r="C34" i="10"/>
  <c r="D34" i="10"/>
  <c r="E34" i="10"/>
  <c r="F34" i="10"/>
  <c r="C35" i="10"/>
  <c r="D35" i="10"/>
  <c r="E35" i="10"/>
  <c r="F35" i="10"/>
  <c r="B36" i="10"/>
  <c r="C36" i="10"/>
  <c r="D36" i="10"/>
  <c r="E36" i="10"/>
  <c r="F36" i="10"/>
  <c r="B44" i="12"/>
  <c r="B45" i="12"/>
  <c r="B46" i="12"/>
  <c r="B47" i="12"/>
  <c r="B49" i="12"/>
  <c r="C57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<sst xmlns="http://schemas.openxmlformats.org/spreadsheetml/2006/main" count="444" uniqueCount="329">
  <si>
    <t>Model Settings</t>
  </si>
  <si>
    <t xml:space="preserve"> </t>
  </si>
  <si>
    <t>Company Name</t>
  </si>
  <si>
    <t>Abercrombie &amp; Fitch Co.</t>
  </si>
  <si>
    <t>Ticker</t>
  </si>
  <si>
    <t>ANF</t>
  </si>
  <si>
    <t>Financial Format (0 = Thousands, 1= Millions)</t>
  </si>
  <si>
    <t>Last Year of Audited Financials</t>
  </si>
  <si>
    <t>Future Performance Senario</t>
  </si>
  <si>
    <t>Best Case</t>
  </si>
  <si>
    <t>Circularity Breaker (0= Off; 1 = On)</t>
  </si>
  <si>
    <t>Base Case</t>
  </si>
  <si>
    <t>Worst Case</t>
  </si>
  <si>
    <t>Income statement assumptions</t>
  </si>
  <si>
    <t>Net sales (growth %)</t>
  </si>
  <si>
    <t>Operational expenses</t>
  </si>
  <si>
    <t>Cost of sales (as a % of Net Sales)</t>
  </si>
  <si>
    <t>Stores and distribution expense (as a % of Net Sales)</t>
  </si>
  <si>
    <t>Marketing, research and general expenses (as a % of Net Sales)</t>
  </si>
  <si>
    <t>Other operating (income) expense, net (as a % of Net Sales)</t>
  </si>
  <si>
    <t>Interest income ($ 000)</t>
  </si>
  <si>
    <t>See debt schedule</t>
  </si>
  <si>
    <t>Interest expense ($ 000)</t>
  </si>
  <si>
    <t>Effective Tax Rate</t>
  </si>
  <si>
    <t>Net Income attributable to non-controlling interests (as % of Net Income including non-controlling interests)</t>
  </si>
  <si>
    <t>Projected Shares Outstanding (000s)</t>
  </si>
  <si>
    <t>Balance Sheet Assumptions</t>
  </si>
  <si>
    <t>Assets</t>
  </si>
  <si>
    <t>Current Assets</t>
  </si>
  <si>
    <t>Cash and cash equivalents</t>
  </si>
  <si>
    <t>As per Schedule. See below for minimum requirements.</t>
  </si>
  <si>
    <t>Accounts receivable (DAYS)</t>
  </si>
  <si>
    <t>As per Working capital Schedule</t>
  </si>
  <si>
    <t>Inventories (DAYS)</t>
  </si>
  <si>
    <t xml:space="preserve">Other current assets </t>
  </si>
  <si>
    <t>Non-Current Assets</t>
  </si>
  <si>
    <t>Property, plant and equipment, net</t>
  </si>
  <si>
    <t>See fixed asset schedule</t>
  </si>
  <si>
    <t>Other Assets ($ 000)</t>
  </si>
  <si>
    <t>Liabilities</t>
  </si>
  <si>
    <t>Current Liabilities</t>
  </si>
  <si>
    <t>Accounts payable (DAYS)</t>
  </si>
  <si>
    <t>As per working capital schedule</t>
  </si>
  <si>
    <t>Accrued expenses</t>
  </si>
  <si>
    <t>Accrued income taxes</t>
  </si>
  <si>
    <t>Other current liabilities</t>
  </si>
  <si>
    <t>Current portion long-term debt ($ 000)</t>
  </si>
  <si>
    <t>Non-Current Liabilities</t>
  </si>
  <si>
    <t>Net debt issuances/(repayments), excluding mandatory repayment of maturing debt ($ 000)</t>
  </si>
  <si>
    <t>Deferred leases (as a % of Net Sales)</t>
  </si>
  <si>
    <t>Other liabilities ($ 000)</t>
  </si>
  <si>
    <t>Other</t>
  </si>
  <si>
    <t>Dividend payout (as a % of Net income including non-controlling interests)</t>
  </si>
  <si>
    <t>Equity issuances (repurchases) ($ 000)</t>
  </si>
  <si>
    <t>Minimum cash balance required (% of Net Sales)</t>
  </si>
  <si>
    <t>Assumptions Being used</t>
  </si>
  <si>
    <t>Income Statement Assumptions</t>
  </si>
  <si>
    <t>Interest income</t>
  </si>
  <si>
    <t>Interest expense</t>
  </si>
  <si>
    <t>Balance sheet assumptions</t>
  </si>
  <si>
    <t>Other current assets ($ 000)</t>
  </si>
  <si>
    <t>Deferred leases (as a % of Net sales)</t>
  </si>
  <si>
    <t xml:space="preserve">Equity issuances (repurchases) </t>
  </si>
  <si>
    <t>Minimum cash balance required (% of Net sales)</t>
  </si>
  <si>
    <t>Consolidated Statements of Income</t>
  </si>
  <si>
    <t>Net sales</t>
  </si>
  <si>
    <t>Cost of sales</t>
  </si>
  <si>
    <t>Gross profit</t>
  </si>
  <si>
    <t>Stores and distribution expense</t>
  </si>
  <si>
    <t>Marketing, research and general expenses</t>
  </si>
  <si>
    <t>Depreciation and amortization</t>
  </si>
  <si>
    <t>Other operating income (expense), net</t>
  </si>
  <si>
    <t>Operating income</t>
  </si>
  <si>
    <t>Income before taxes</t>
  </si>
  <si>
    <t xml:space="preserve">Tax expense </t>
  </si>
  <si>
    <t>Net income including non-controlling interests</t>
  </si>
  <si>
    <t>Less: Net Income attributable to non-controlling interests</t>
  </si>
  <si>
    <t>Net Income attributable to ANF</t>
  </si>
  <si>
    <t>Balance Sheet</t>
  </si>
  <si>
    <t>Receivables</t>
  </si>
  <si>
    <t>Inventories</t>
  </si>
  <si>
    <t>Other current assets</t>
  </si>
  <si>
    <t>Total Current Assets</t>
  </si>
  <si>
    <t>Other assets</t>
  </si>
  <si>
    <t>Total Non-Current Assets</t>
  </si>
  <si>
    <t>Total Assets</t>
  </si>
  <si>
    <t>Accounts payable</t>
  </si>
  <si>
    <t>Income taxes payable</t>
  </si>
  <si>
    <t>Current portion of debt</t>
  </si>
  <si>
    <t>Total Current Liabilities</t>
  </si>
  <si>
    <t>Revolving line of credit</t>
  </si>
  <si>
    <t>Long term debt</t>
  </si>
  <si>
    <t>Deferred leases</t>
  </si>
  <si>
    <t>Other liabilities</t>
  </si>
  <si>
    <t>Total Non-Current Liabilities</t>
  </si>
  <si>
    <t>Total Liabilities</t>
  </si>
  <si>
    <t>Stockholders' Equity</t>
  </si>
  <si>
    <t>Total liabilities and stockholders' equity</t>
  </si>
  <si>
    <t>Check</t>
  </si>
  <si>
    <t>Consolidated Statement of Cash Flows</t>
  </si>
  <si>
    <t>Cash Flow from Operations</t>
  </si>
  <si>
    <t>Net Income</t>
  </si>
  <si>
    <t>Income (Loss) attributable to noncontrolling interests</t>
  </si>
  <si>
    <t xml:space="preserve">Depreciation </t>
  </si>
  <si>
    <t>(Increase) Decrease in Receivables</t>
  </si>
  <si>
    <t>(Increase) Decrease in Inventories</t>
  </si>
  <si>
    <t>(Increase) Decrease in Other current assets</t>
  </si>
  <si>
    <t>(Decrease) Increase in Accounts payable</t>
  </si>
  <si>
    <t>(Decrease) Increase in Accural expenses</t>
  </si>
  <si>
    <t>(Decrease) Increase in Income taxes payables</t>
  </si>
  <si>
    <t>(Decrease) Increase in Other current liabilities</t>
  </si>
  <si>
    <t>Total</t>
  </si>
  <si>
    <t>Cash Flow from Investing</t>
  </si>
  <si>
    <t>CAPEX</t>
  </si>
  <si>
    <t>(Increase) Decrease in Other assets</t>
  </si>
  <si>
    <t>Cash Flow from Financing</t>
  </si>
  <si>
    <t>Revolver Increases (Decreases)</t>
  </si>
  <si>
    <t>(Dividends Paid)</t>
  </si>
  <si>
    <t>Equity Issues (Equity Repurchase)</t>
  </si>
  <si>
    <t>Long Term Debt Increases (Decreases)</t>
  </si>
  <si>
    <t>Deferred leases Increases (Decreases)</t>
  </si>
  <si>
    <t>Other Long-Term Liabilities Increases (Decreases)</t>
  </si>
  <si>
    <t>Net Change in Cash</t>
  </si>
  <si>
    <t>Cash at Beginning of Year</t>
  </si>
  <si>
    <t>Cash at End of Year</t>
  </si>
  <si>
    <t>Working Capital Schedule</t>
  </si>
  <si>
    <t>INCOME STATEMENT ACCOUNTS</t>
  </si>
  <si>
    <t>Cost of Sales</t>
  </si>
  <si>
    <t>WORKING CAPITAL ACCOUNTS</t>
  </si>
  <si>
    <t>Other Current Assets</t>
  </si>
  <si>
    <t xml:space="preserve">     Total Noncash Working Capital Assets</t>
  </si>
  <si>
    <t>Accounts Payable</t>
  </si>
  <si>
    <t>Accrued Expenses</t>
  </si>
  <si>
    <t>Other Current Liabilities</t>
  </si>
  <si>
    <t xml:space="preserve">     Total Working Capital liabilities</t>
  </si>
  <si>
    <t>RATIOS/ASSUMPTIONS</t>
  </si>
  <si>
    <t>Number of days/year</t>
  </si>
  <si>
    <t>Receivables (A/R days)</t>
  </si>
  <si>
    <t>Inventory (inventory days)</t>
  </si>
  <si>
    <t>Other Current Assets  (% Net sales)</t>
  </si>
  <si>
    <t>Accounts Payable (A/P days)</t>
  </si>
  <si>
    <t>Accrued expenses (% Net sales)</t>
  </si>
  <si>
    <t>Other Current Liabilities (% Net sales)</t>
  </si>
  <si>
    <t>Accrued income taxes, current portion (% Net sales)</t>
  </si>
  <si>
    <t>Debt Schedule Calculations</t>
  </si>
  <si>
    <t>Cash flow available for financing</t>
  </si>
  <si>
    <t>Issuance (Repurchase) of equity</t>
  </si>
  <si>
    <t>Dividend payout</t>
  </si>
  <si>
    <t>Plus: Beginning cash balance</t>
  </si>
  <si>
    <t>Less: Minimum cash balance</t>
  </si>
  <si>
    <t>Cash available for long term debt</t>
  </si>
  <si>
    <t>Mandatory long term debt repayment</t>
  </si>
  <si>
    <t>Other long term debt issuance/(repayment)</t>
  </si>
  <si>
    <t>Cash available for revolver</t>
  </si>
  <si>
    <t>Revolver calculation</t>
  </si>
  <si>
    <t>Beginning balance</t>
  </si>
  <si>
    <t>Issuance/(repayment) on revolver</t>
  </si>
  <si>
    <t>Ending balance</t>
  </si>
  <si>
    <t>Long term debt (total)</t>
  </si>
  <si>
    <t>Total long term debt issuance/(repayment)</t>
  </si>
  <si>
    <t>Interest expense calculation</t>
  </si>
  <si>
    <t>Revolver</t>
  </si>
  <si>
    <t>Average balance</t>
  </si>
  <si>
    <t>Interest rate</t>
  </si>
  <si>
    <t>Interest Rate</t>
  </si>
  <si>
    <t>Total interest expense</t>
  </si>
  <si>
    <t>Cash</t>
  </si>
  <si>
    <t>Shareholders' Equity Schedule</t>
  </si>
  <si>
    <t>Beginning shareholder equity</t>
  </si>
  <si>
    <t>Plus: Net income</t>
  </si>
  <si>
    <t>Less: Dividends</t>
  </si>
  <si>
    <t>Stock issuance (repurchases)</t>
  </si>
  <si>
    <t>Ending shareholder equity</t>
  </si>
  <si>
    <t>Fixed Asset Schedule</t>
  </si>
  <si>
    <t>Cost</t>
  </si>
  <si>
    <t>Salvage</t>
  </si>
  <si>
    <t>Life</t>
  </si>
  <si>
    <t>2017 Beginning PPE (old)</t>
  </si>
  <si>
    <t>2017 CAPEX</t>
  </si>
  <si>
    <t>2018 CAPEX</t>
  </si>
  <si>
    <t>2019 CAPEX</t>
  </si>
  <si>
    <t>2020 CAPEX</t>
  </si>
  <si>
    <t>2021 CAPEX</t>
  </si>
  <si>
    <t>Beginning Balance - PPE</t>
  </si>
  <si>
    <t xml:space="preserve">     Add: CAPEX</t>
  </si>
  <si>
    <t xml:space="preserve">     Less: D&amp;A - PPE</t>
  </si>
  <si>
    <t>Ending Balance - PPE</t>
  </si>
  <si>
    <t>Valuation</t>
  </si>
  <si>
    <t>Assumptions</t>
  </si>
  <si>
    <t>Basic shares outstanding</t>
  </si>
  <si>
    <t>WACC</t>
  </si>
  <si>
    <t>FCFF Calculation</t>
  </si>
  <si>
    <t>EBIT</t>
  </si>
  <si>
    <t>tax rate</t>
  </si>
  <si>
    <t>NOPAT(EBIAT)</t>
  </si>
  <si>
    <t>Depreciation &amp; Amortization</t>
  </si>
  <si>
    <t>Other CFO Adjustment</t>
  </si>
  <si>
    <t>Free Cash Flow to the Firm (FCFF)</t>
  </si>
  <si>
    <t>Discount Period (as of 12/31/2017)</t>
  </si>
  <si>
    <t>Present value of FCFF</t>
  </si>
  <si>
    <t>Terminal Value as of 12/31/2017</t>
  </si>
  <si>
    <t>Cost of Capital (WACC) calculation</t>
  </si>
  <si>
    <t>Cost of equity</t>
  </si>
  <si>
    <t>Equity/(Debt+Equity)</t>
  </si>
  <si>
    <t>After-tax cost of debt</t>
  </si>
  <si>
    <t>Terminal growth rate</t>
  </si>
  <si>
    <t>Perpetuity approach</t>
  </si>
  <si>
    <t>Terminal year FFCF</t>
  </si>
  <si>
    <t xml:space="preserve">Terminal value </t>
  </si>
  <si>
    <t>Present value of Terminal value</t>
  </si>
  <si>
    <t>Present value of FFCF</t>
  </si>
  <si>
    <t>Enterprise value as of 12/31/2017</t>
  </si>
  <si>
    <t>Equity value per share</t>
  </si>
  <si>
    <t>Less: Net Debt as of 12/31/2017</t>
  </si>
  <si>
    <t>Gross Debt</t>
  </si>
  <si>
    <t>Less: Cash and equivalents</t>
  </si>
  <si>
    <t>Equity value as of 12/31/2017</t>
  </si>
  <si>
    <t>Value per share</t>
  </si>
  <si>
    <t>Sensitivity Table</t>
  </si>
  <si>
    <t>Terminal Growth Rate</t>
  </si>
  <si>
    <t>Financial Risk and Operating Performance Assessment Criteria</t>
  </si>
  <si>
    <t>Financial Risk Assessment</t>
  </si>
  <si>
    <t>HIGH</t>
  </si>
  <si>
    <t>MEDIUM</t>
  </si>
  <si>
    <t>LOW</t>
  </si>
  <si>
    <t>Liquidity Cutoffs</t>
  </si>
  <si>
    <t>Risk</t>
  </si>
  <si>
    <t>Solvency Cutoffs</t>
  </si>
  <si>
    <t>Payback Cutoffs</t>
  </si>
  <si>
    <t>Coverage Cutoffs</t>
  </si>
  <si>
    <t>Liquidity</t>
  </si>
  <si>
    <t>Average of two ratios &lt; 1.5</t>
  </si>
  <si>
    <t>1.5 &lt; = Average of two ratios &lt; 2.5</t>
  </si>
  <si>
    <t>Average of two ratios &gt; = 2.5</t>
  </si>
  <si>
    <t>Solvency</t>
  </si>
  <si>
    <t>Ratio &lt; 10%</t>
  </si>
  <si>
    <t>10% &lt; = Ratio &lt; 50%</t>
  </si>
  <si>
    <t>Ratio &gt; = 50%</t>
  </si>
  <si>
    <t>Payback</t>
  </si>
  <si>
    <t>Ratio &lt; 25%</t>
  </si>
  <si>
    <t>25% &lt; =  Ratio &lt; 50%</t>
  </si>
  <si>
    <t>Coverage</t>
  </si>
  <si>
    <t>Ratio &lt; 3</t>
  </si>
  <si>
    <t>3 &lt; = Ratio &lt; 10</t>
  </si>
  <si>
    <t>Ratio &gt; = 10</t>
  </si>
  <si>
    <t>Operating Performance Assessment</t>
  </si>
  <si>
    <t>WEAK</t>
  </si>
  <si>
    <t>AVERAGE</t>
  </si>
  <si>
    <t>STRONG</t>
  </si>
  <si>
    <t>Return on Equity Cutoffs</t>
  </si>
  <si>
    <t>Revenue Growth Cutoffs</t>
  </si>
  <si>
    <t>EBIT Margin Cutoffs</t>
  </si>
  <si>
    <t>Net Margin Cutoffs</t>
  </si>
  <si>
    <t>Return on Equity</t>
  </si>
  <si>
    <t>Ratio &lt; 8%</t>
  </si>
  <si>
    <t>8% &lt; = Ratio &lt; 12%</t>
  </si>
  <si>
    <t>Ratio &gt; = 12%</t>
  </si>
  <si>
    <t>Revenue Growth</t>
  </si>
  <si>
    <t>Ratio &lt; 2%</t>
  </si>
  <si>
    <t>2% &lt; = Ratio &lt; 7%</t>
  </si>
  <si>
    <t>Ratio &gt; = 7%</t>
  </si>
  <si>
    <t>EBIT Margin</t>
  </si>
  <si>
    <t>10% &lt; = Ratio &lt; 20%</t>
  </si>
  <si>
    <t>Ratio &gt; = 20%</t>
  </si>
  <si>
    <t>Net Margin</t>
  </si>
  <si>
    <t>Ratio &lt; 5%</t>
  </si>
  <si>
    <t>5% &lt; = Ratio &lt; 15%</t>
  </si>
  <si>
    <t>Ratio &gt; = 15%</t>
  </si>
  <si>
    <t>Debt Rating Calculation</t>
  </si>
  <si>
    <t>Financial Risk</t>
  </si>
  <si>
    <t>Operating Risk</t>
  </si>
  <si>
    <t>Current Ratio</t>
  </si>
  <si>
    <t>Net Income/Total Equity</t>
  </si>
  <si>
    <t>Quick Ratio</t>
  </si>
  <si>
    <t>ROE Performance (STRONG, AVERAGE, or WEAK)</t>
  </si>
  <si>
    <t>Average of Two Ratios</t>
  </si>
  <si>
    <t>Liquidity Risk (LOW, MEDIUM, or HIGH)</t>
  </si>
  <si>
    <t>Growth</t>
  </si>
  <si>
    <t>Equity/Total Capital (Debt+Equity)</t>
  </si>
  <si>
    <t>Solvency Risk (LOW, MEDIUM, or HIGH)</t>
  </si>
  <si>
    <t>Growth Performance (STRONG, AVERAGE, or WEAK)</t>
  </si>
  <si>
    <t>Debt Payback</t>
  </si>
  <si>
    <t>EBITDA/Debt</t>
  </si>
  <si>
    <t>EBIT/Revenue</t>
  </si>
  <si>
    <t>Payback Risk (LOW, MEDIUM, or HIGH)</t>
  </si>
  <si>
    <t>EBIT Margin Performance (STRONG, AVERAGE, or WEAK)</t>
  </si>
  <si>
    <t>Interest Coverage</t>
  </si>
  <si>
    <t>EBITDA/Interest Expense</t>
  </si>
  <si>
    <t>NI/Revenue</t>
  </si>
  <si>
    <t>Coverage Risk (LOW, MEDIUM, or HIGH)</t>
  </si>
  <si>
    <t>Net Margin Performance (STRONG, AVERAGE, or WEAK)</t>
  </si>
  <si>
    <t>Number of LOW risk categories</t>
  </si>
  <si>
    <t>Number of STRONG performance categories</t>
  </si>
  <si>
    <t>Number of MEDIUM risk categories</t>
  </si>
  <si>
    <t>Number of AVERAGE performance categories</t>
  </si>
  <si>
    <t>Number of HIGH risk categories</t>
  </si>
  <si>
    <t>Number of WEAK performance categories</t>
  </si>
  <si>
    <t>Weight for LOW risk categories</t>
  </si>
  <si>
    <t>Weight for STRONG performance categories</t>
  </si>
  <si>
    <t>Weight for MEDIUM risk categories</t>
  </si>
  <si>
    <t>Weight for AVERAGE performance categories</t>
  </si>
  <si>
    <t>Weight for HIGH risk categories</t>
  </si>
  <si>
    <t>Weight for WEAK performance categories</t>
  </si>
  <si>
    <t>Financial Risk Summary (Lower = Low Risk)</t>
  </si>
  <si>
    <t>Operating Risk Summary (Lower = Lower Risk)</t>
  </si>
  <si>
    <t>Weight given to Financial Risk Summary (%)</t>
  </si>
  <si>
    <t>Credit Risk Summary Calculation</t>
  </si>
  <si>
    <t>Weight given to Financial Risk Summary</t>
  </si>
  <si>
    <t>Weight given to Operating Risk Summary</t>
  </si>
  <si>
    <t>Overall Credit Risk Summary</t>
  </si>
  <si>
    <t>Debt Rating</t>
  </si>
  <si>
    <t>Credit Risk Ratings by Credit Risk Summary Measure</t>
  </si>
  <si>
    <t>Credit Risk Summary</t>
  </si>
  <si>
    <t>Rating</t>
  </si>
  <si>
    <t>or higher</t>
  </si>
  <si>
    <t>D</t>
  </si>
  <si>
    <t>C</t>
  </si>
  <si>
    <t>CC</t>
  </si>
  <si>
    <t>CCC</t>
  </si>
  <si>
    <t>B-</t>
  </si>
  <si>
    <t>B</t>
  </si>
  <si>
    <t>B+</t>
  </si>
  <si>
    <t>BB</t>
  </si>
  <si>
    <t>BBB</t>
  </si>
  <si>
    <t>A-</t>
  </si>
  <si>
    <t>A</t>
  </si>
  <si>
    <t>A+</t>
  </si>
  <si>
    <t>AA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</si>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</sst>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 * #,##0_ ;_ * \-#,##0_ ;_ * &quot;-&quot;_ ;_ @_ "/>
    <numFmt numFmtId="23" formatCode="\$#,##0_);\(\$#,##0\)"/>
    <numFmt numFmtId="25" formatCode="\$#,##0.00_);\(\$#,##0.00\)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0.00_);\(0.00\)"/>
    <numFmt numFmtId="179" formatCode="0.000"/>
    <numFmt numFmtId="180" formatCode="0.E+00"/>
    <numFmt numFmtId="181" formatCode="0.0_ "/>
    <numFmt numFmtId="182" formatCode="0_ "/>
    <numFmt numFmtId="183" formatCode="0&quot;E&quot;"/>
    <numFmt numFmtId="184" formatCode="#,##0_);\(#,##0\)"/>
    <numFmt numFmtId="185" formatCode="#,##0.0000"/>
    <numFmt numFmtId="186" formatCode="0.0%"/>
    <numFmt numFmtId="187" formatCode="&quot;$&quot;#,##0_);\(&quot;$&quot;#,##0\)"/>
    <numFmt numFmtId="188" formatCode="_(* #,##0_);_(* \(#,##0\);_(* &quot;-&quot;??_);_(@_)"/>
    <numFmt numFmtId="189" formatCode="&quot;$&quot;#,##0"/>
    <numFmt numFmtId="190" formatCode="[$$-1004]#,##0_);\([$$-1004]#,##0\)"/>
    <numFmt numFmtId="191" formatCode="#,##0.0"/>
    <numFmt numFmtId="192" formatCode="0.000%"/>
    <numFmt numFmtId="193" formatCode="#,##0.0%_);\(#,##0.0%\)"/>
    <numFmt numFmtId="194" formatCode="#,##0.000"/>
    <numFmt numFmtId="195" formatCode="#,##0.0_);\(#,##0.0\)"/>
    <numFmt numFmtId="196" formatCode="&quot;$&quot;#,##0_);[Red]\(&quot;$&quot;#,##0\)"/>
  </numFmts>
  <fonts count="46">
    <font>
      <sz val="10"/>
      <name val="Arial"/>
      <charset val="134"/>
    </font>
    <font>
      <b/>
      <sz val="14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i/>
      <sz val="8"/>
      <color theme="0"/>
      <name val="Arial"/>
      <family val="2"/>
    </font>
    <font>
      <i/>
      <sz val="8"/>
      <color theme="0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i/>
      <sz val="12"/>
      <name val="Arial"/>
      <family val="2"/>
    </font>
    <font>
      <b/>
      <sz val="8"/>
      <color indexed="8"/>
      <name val="Ariall"/>
      <family val="2"/>
    </font>
    <font>
      <b/>
      <sz val="8"/>
      <color indexed="8"/>
      <name val="Calibri"/>
      <family val="2"/>
    </font>
    <font>
      <sz val="8"/>
      <color theme="3" tint="0.39994506668294322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</font>
    <font>
      <b/>
      <sz val="8"/>
      <color theme="3" tint="0.39994506668294322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  <font>
      <sz val="8"/>
      <color indexed="17"/>
      <name val="Arial"/>
      <family val="2"/>
    </font>
    <font>
      <sz val="8"/>
      <color rgb="FF003399"/>
      <name val="Arial"/>
      <family val="2"/>
    </font>
    <font>
      <sz val="8"/>
      <color indexed="56"/>
      <name val="Arial"/>
      <family val="2"/>
    </font>
    <font>
      <sz val="8"/>
      <color indexed="9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b/>
      <sz val="10"/>
      <color theme="3" tint="0.39994506668294322"/>
      <name val="Arial"/>
      <family val="2"/>
    </font>
    <font>
      <sz val="8"/>
      <color indexed="12"/>
      <name val="Arial"/>
      <family val="2"/>
    </font>
    <font>
      <i/>
      <sz val="10"/>
      <color rgb="FFFF0000"/>
      <name val="Arial"/>
      <family val="2"/>
    </font>
    <font>
      <i/>
      <sz val="8"/>
      <color indexed="10"/>
      <name val="Arial"/>
      <family val="2"/>
    </font>
    <font>
      <b/>
      <sz val="14"/>
      <color indexed="9"/>
      <name val="Arial"/>
      <family val="2"/>
    </font>
    <font>
      <sz val="8"/>
      <color indexed="10"/>
      <name val="Arial"/>
      <family val="2"/>
    </font>
    <font>
      <sz val="8"/>
      <color indexed="30"/>
      <name val="Arial"/>
      <family val="2"/>
    </font>
    <font>
      <sz val="8"/>
      <color theme="0" tint="-0.499984740745262"/>
      <name val="Arial"/>
      <family val="2"/>
    </font>
    <font>
      <sz val="8"/>
      <color theme="4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176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4" fillId="0" borderId="32"/>
    <xf numFmtId="0" fontId="43" fillId="0" borderId="0"/>
  </cellStyleXfs>
  <cellXfs count="41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0" fontId="4" fillId="0" borderId="6" xfId="3" applyNumberFormat="1" applyFont="1" applyBorder="1"/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0" fontId="4" fillId="0" borderId="9" xfId="3" applyNumberFormat="1" applyFont="1" applyBorder="1"/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0" fontId="4" fillId="0" borderId="12" xfId="3" applyNumberFormat="1" applyFont="1" applyBorder="1"/>
    <xf numFmtId="0" fontId="5" fillId="4" borderId="1" xfId="0" applyFont="1" applyFill="1" applyBorder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5" fillId="5" borderId="1" xfId="0" applyFont="1" applyFill="1" applyBorder="1"/>
    <xf numFmtId="0" fontId="3" fillId="0" borderId="13" xfId="0" applyFont="1" applyBorder="1"/>
    <xf numFmtId="0" fontId="3" fillId="0" borderId="14" xfId="0" applyFont="1" applyBorder="1"/>
    <xf numFmtId="0" fontId="7" fillId="0" borderId="13" xfId="0" applyFont="1" applyBorder="1"/>
    <xf numFmtId="0" fontId="0" fillId="0" borderId="14" xfId="0" applyBorder="1"/>
    <xf numFmtId="0" fontId="7" fillId="0" borderId="0" xfId="0" applyFont="1" applyAlignment="1">
      <alignment horizontal="right"/>
    </xf>
    <xf numFmtId="0" fontId="3" fillId="0" borderId="13" xfId="0" applyFont="1" applyBorder="1" applyAlignment="1">
      <alignment horizontal="left" indent="1"/>
    </xf>
    <xf numFmtId="178" fontId="3" fillId="0" borderId="0" xfId="0" applyNumberFormat="1" applyFont="1" applyAlignment="1">
      <alignment horizontal="center"/>
    </xf>
    <xf numFmtId="178" fontId="3" fillId="0" borderId="14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9" fontId="3" fillId="0" borderId="0" xfId="3" applyFont="1" applyAlignment="1">
      <alignment horizontal="center"/>
    </xf>
    <xf numFmtId="9" fontId="3" fillId="0" borderId="14" xfId="3" applyFont="1" applyBorder="1" applyAlignment="1">
      <alignment horizontal="center"/>
    </xf>
    <xf numFmtId="9" fontId="3" fillId="0" borderId="17" xfId="3" applyFont="1" applyBorder="1" applyAlignment="1">
      <alignment horizontal="center"/>
    </xf>
    <xf numFmtId="178" fontId="3" fillId="0" borderId="17" xfId="0" applyNumberFormat="1" applyFont="1" applyBorder="1" applyAlignment="1">
      <alignment horizontal="center"/>
    </xf>
    <xf numFmtId="0" fontId="3" fillId="0" borderId="3" xfId="0" applyFont="1" applyBorder="1"/>
    <xf numFmtId="179" fontId="3" fillId="0" borderId="0" xfId="0" applyNumberFormat="1" applyFont="1" applyAlignment="1">
      <alignment horizontal="right"/>
    </xf>
    <xf numFmtId="179" fontId="3" fillId="0" borderId="14" xfId="0" applyNumberFormat="1" applyFont="1" applyBorder="1" applyAlignment="1">
      <alignment horizontal="right"/>
    </xf>
    <xf numFmtId="1" fontId="8" fillId="6" borderId="0" xfId="0" applyNumberFormat="1" applyFont="1" applyFill="1" applyAlignment="1">
      <alignment horizontal="center"/>
    </xf>
    <xf numFmtId="1" fontId="8" fillId="6" borderId="14" xfId="0" applyNumberFormat="1" applyFont="1" applyFill="1" applyBorder="1" applyAlignment="1">
      <alignment horizontal="center"/>
    </xf>
    <xf numFmtId="0" fontId="5" fillId="4" borderId="18" xfId="0" applyFont="1" applyFill="1" applyBorder="1"/>
    <xf numFmtId="0" fontId="8" fillId="4" borderId="19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5" fillId="5" borderId="18" xfId="0" applyFont="1" applyFill="1" applyBorder="1"/>
    <xf numFmtId="0" fontId="3" fillId="3" borderId="0" xfId="0" applyFont="1" applyFill="1"/>
    <xf numFmtId="0" fontId="8" fillId="3" borderId="0" xfId="0" applyFont="1" applyFill="1"/>
    <xf numFmtId="0" fontId="9" fillId="3" borderId="21" xfId="0" applyFont="1" applyFill="1" applyBorder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/>
    <xf numFmtId="0" fontId="5" fillId="3" borderId="1" xfId="0" applyFont="1" applyFill="1" applyBorder="1"/>
    <xf numFmtId="0" fontId="5" fillId="3" borderId="2" xfId="0" applyFont="1" applyFill="1" applyBorder="1"/>
    <xf numFmtId="0" fontId="5" fillId="3" borderId="2" xfId="0" applyFont="1" applyFill="1" applyBorder="1" applyAlignment="1">
      <alignment horizontal="right"/>
    </xf>
    <xf numFmtId="9" fontId="8" fillId="6" borderId="1" xfId="3" applyFont="1" applyFill="1" applyBorder="1" applyAlignment="1"/>
    <xf numFmtId="9" fontId="8" fillId="6" borderId="2" xfId="3" applyFont="1" applyFill="1" applyBorder="1" applyAlignment="1"/>
    <xf numFmtId="9" fontId="8" fillId="6" borderId="3" xfId="3" applyFont="1" applyFill="1" applyBorder="1" applyAlignment="1"/>
    <xf numFmtId="9" fontId="8" fillId="6" borderId="18" xfId="3" applyFont="1" applyFill="1" applyBorder="1" applyAlignment="1"/>
    <xf numFmtId="9" fontId="8" fillId="6" borderId="19" xfId="3" applyFont="1" applyFill="1" applyBorder="1" applyAlignment="1"/>
    <xf numFmtId="9" fontId="8" fillId="6" borderId="20" xfId="3" applyFont="1" applyFill="1" applyBorder="1" applyAlignment="1"/>
    <xf numFmtId="0" fontId="5" fillId="3" borderId="18" xfId="0" applyFont="1" applyFill="1" applyBorder="1"/>
    <xf numFmtId="0" fontId="5" fillId="3" borderId="19" xfId="0" applyFont="1" applyFill="1" applyBorder="1" applyAlignment="1">
      <alignment horizontal="right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10" fontId="3" fillId="0" borderId="0" xfId="3" applyNumberFormat="1" applyFont="1" applyAlignment="1">
      <alignment horizontal="center"/>
    </xf>
    <xf numFmtId="10" fontId="3" fillId="0" borderId="14" xfId="3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9" fillId="6" borderId="0" xfId="0" applyNumberFormat="1" applyFont="1" applyFill="1" applyAlignment="1">
      <alignment horizontal="center"/>
    </xf>
    <xf numFmtId="1" fontId="9" fillId="6" borderId="14" xfId="0" applyNumberFormat="1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7" borderId="1" xfId="0" applyFont="1" applyFill="1" applyBorder="1"/>
    <xf numFmtId="0" fontId="8" fillId="7" borderId="3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11" fillId="8" borderId="22" xfId="0" applyFont="1" applyFill="1" applyBorder="1"/>
    <xf numFmtId="0" fontId="11" fillId="8" borderId="23" xfId="0" applyFont="1" applyFill="1" applyBorder="1"/>
    <xf numFmtId="0" fontId="8" fillId="7" borderId="13" xfId="0" applyFont="1" applyFill="1" applyBorder="1"/>
    <xf numFmtId="180" fontId="11" fillId="0" borderId="24" xfId="0" applyNumberFormat="1" applyFont="1" applyBorder="1" applyAlignment="1">
      <alignment horizontal="center"/>
    </xf>
    <xf numFmtId="0" fontId="11" fillId="0" borderId="25" xfId="0" applyFont="1" applyBorder="1" applyAlignment="1">
      <alignment horizontal="left" indent="1"/>
    </xf>
    <xf numFmtId="0" fontId="3" fillId="0" borderId="9" xfId="0" applyFont="1" applyBorder="1" applyAlignment="1">
      <alignment horizontal="center"/>
    </xf>
    <xf numFmtId="181" fontId="11" fillId="0" borderId="24" xfId="0" applyNumberFormat="1" applyFont="1" applyBorder="1" applyAlignment="1">
      <alignment horizontal="center"/>
    </xf>
    <xf numFmtId="181" fontId="11" fillId="0" borderId="26" xfId="0" applyNumberFormat="1" applyFont="1" applyBorder="1" applyAlignment="1">
      <alignment horizontal="center"/>
    </xf>
    <xf numFmtId="0" fontId="11" fillId="0" borderId="27" xfId="0" applyFont="1" applyBorder="1" applyAlignment="1">
      <alignment horizontal="left" indent="1"/>
    </xf>
    <xf numFmtId="0" fontId="8" fillId="7" borderId="18" xfId="0" applyFont="1" applyFill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1" fillId="0" borderId="0" xfId="0" applyFont="1"/>
    <xf numFmtId="0" fontId="7" fillId="0" borderId="0" xfId="0" applyFont="1"/>
    <xf numFmtId="0" fontId="12" fillId="0" borderId="0" xfId="0" applyFont="1"/>
    <xf numFmtId="9" fontId="11" fillId="0" borderId="24" xfId="0" applyNumberFormat="1" applyFont="1" applyBorder="1" applyAlignment="1">
      <alignment horizontal="center"/>
    </xf>
    <xf numFmtId="9" fontId="11" fillId="0" borderId="26" xfId="0" applyNumberFormat="1" applyFont="1" applyBorder="1" applyAlignment="1">
      <alignment horizontal="center"/>
    </xf>
    <xf numFmtId="0" fontId="11" fillId="0" borderId="25" xfId="0" applyFont="1" applyBorder="1"/>
    <xf numFmtId="182" fontId="11" fillId="0" borderId="24" xfId="0" applyNumberFormat="1" applyFont="1" applyBorder="1" applyAlignment="1">
      <alignment horizontal="center"/>
    </xf>
    <xf numFmtId="0" fontId="11" fillId="0" borderId="27" xfId="0" applyFont="1" applyBorder="1"/>
    <xf numFmtId="182" fontId="11" fillId="0" borderId="26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1" fillId="9" borderId="0" xfId="0" applyFont="1" applyFill="1"/>
    <xf numFmtId="3" fontId="3" fillId="0" borderId="0" xfId="0" applyNumberFormat="1" applyFont="1" applyAlignment="1">
      <alignment horizontal="left" wrapText="1"/>
    </xf>
    <xf numFmtId="3" fontId="13" fillId="0" borderId="0" xfId="0" applyNumberFormat="1" applyFont="1" applyAlignment="1">
      <alignment vertical="top"/>
    </xf>
    <xf numFmtId="3" fontId="4" fillId="0" borderId="0" xfId="0" applyNumberFormat="1" applyFont="1" applyAlignment="1">
      <alignment vertical="top"/>
    </xf>
    <xf numFmtId="3" fontId="3" fillId="0" borderId="0" xfId="0" applyNumberFormat="1" applyFont="1" applyAlignment="1">
      <alignment horizontal="center"/>
    </xf>
    <xf numFmtId="0" fontId="14" fillId="10" borderId="28" xfId="0" applyFont="1" applyFill="1" applyBorder="1"/>
    <xf numFmtId="0" fontId="15" fillId="10" borderId="28" xfId="0" applyFont="1" applyFill="1" applyBorder="1"/>
    <xf numFmtId="3" fontId="16" fillId="0" borderId="0" xfId="0" applyNumberFormat="1" applyFont="1" applyAlignment="1">
      <alignment horizontal="right"/>
    </xf>
    <xf numFmtId="10" fontId="17" fillId="0" borderId="0" xfId="3" applyNumberFormat="1" applyFont="1" applyAlignment="1">
      <alignment horizontal="right"/>
    </xf>
    <xf numFmtId="10" fontId="16" fillId="0" borderId="0" xfId="3" applyNumberFormat="1" applyFont="1" applyAlignment="1">
      <alignment horizontal="right"/>
    </xf>
    <xf numFmtId="1" fontId="3" fillId="0" borderId="29" xfId="0" applyNumberFormat="1" applyFont="1" applyBorder="1" applyAlignment="1">
      <alignment horizontal="left" wrapText="1"/>
    </xf>
    <xf numFmtId="0" fontId="7" fillId="0" borderId="29" xfId="0" applyFont="1" applyBorder="1" applyAlignment="1">
      <alignment horizontal="right"/>
    </xf>
    <xf numFmtId="183" fontId="7" fillId="11" borderId="29" xfId="0" applyNumberFormat="1" applyFont="1" applyFill="1" applyBorder="1" applyAlignment="1">
      <alignment horizontal="right"/>
    </xf>
    <xf numFmtId="184" fontId="17" fillId="0" borderId="0" xfId="1" applyNumberFormat="1" applyFont="1" applyBorder="1" applyAlignment="1" applyProtection="1">
      <alignment horizontal="right"/>
    </xf>
    <xf numFmtId="184" fontId="3" fillId="0" borderId="0" xfId="0" applyNumberFormat="1" applyFont="1"/>
    <xf numFmtId="9" fontId="17" fillId="0" borderId="0" xfId="3" applyFont="1" applyBorder="1" applyAlignment="1" applyProtection="1">
      <alignment horizontal="right"/>
    </xf>
    <xf numFmtId="184" fontId="18" fillId="0" borderId="0" xfId="1" applyNumberFormat="1" applyFont="1" applyBorder="1" applyAlignment="1" applyProtection="1">
      <alignment horizontal="right"/>
    </xf>
    <xf numFmtId="184" fontId="18" fillId="0" borderId="0" xfId="1" applyNumberFormat="1" applyFont="1" applyBorder="1" applyAlignment="1" applyProtection="1">
      <alignment horizontal="right"/>
      <protection locked="0"/>
    </xf>
    <xf numFmtId="3" fontId="7" fillId="0" borderId="0" xfId="0" applyNumberFormat="1" applyFont="1" applyAlignment="1">
      <alignment horizontal="right"/>
    </xf>
    <xf numFmtId="184" fontId="7" fillId="0" borderId="0" xfId="0" applyNumberFormat="1" applyFont="1"/>
    <xf numFmtId="0" fontId="19" fillId="10" borderId="0" xfId="0" applyFont="1" applyFill="1"/>
    <xf numFmtId="10" fontId="16" fillId="0" borderId="0" xfId="3" applyNumberFormat="1" applyFont="1" applyFill="1" applyAlignment="1">
      <alignment horizontal="right"/>
    </xf>
    <xf numFmtId="10" fontId="16" fillId="0" borderId="0" xfId="0" applyNumberFormat="1" applyFont="1" applyAlignment="1">
      <alignment horizontal="right"/>
    </xf>
    <xf numFmtId="185" fontId="3" fillId="0" borderId="0" xfId="0" applyNumberFormat="1" applyFont="1" applyAlignment="1">
      <alignment horizontal="right"/>
    </xf>
    <xf numFmtId="10" fontId="7" fillId="0" borderId="30" xfId="0" applyNumberFormat="1" applyFont="1" applyBorder="1" applyAlignment="1">
      <alignment horizontal="right"/>
    </xf>
    <xf numFmtId="10" fontId="16" fillId="0" borderId="30" xfId="0" applyNumberFormat="1" applyFont="1" applyBorder="1" applyAlignment="1">
      <alignment horizontal="right"/>
    </xf>
    <xf numFmtId="10" fontId="3" fillId="0" borderId="0" xfId="0" applyNumberFormat="1" applyFont="1" applyAlignment="1">
      <alignment horizontal="right"/>
    </xf>
    <xf numFmtId="10" fontId="20" fillId="0" borderId="0" xfId="0" applyNumberFormat="1" applyFont="1" applyAlignment="1">
      <alignment horizontal="right"/>
    </xf>
    <xf numFmtId="184" fontId="1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left"/>
    </xf>
    <xf numFmtId="184" fontId="18" fillId="0" borderId="0" xfId="0" applyNumberFormat="1" applyFont="1" applyAlignment="1">
      <alignment horizontal="right"/>
    </xf>
    <xf numFmtId="186" fontId="20" fillId="0" borderId="0" xfId="0" applyNumberFormat="1" applyFont="1" applyAlignment="1">
      <alignment horizontal="right"/>
    </xf>
    <xf numFmtId="184" fontId="7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left" indent="1"/>
    </xf>
    <xf numFmtId="184" fontId="3" fillId="0" borderId="0" xfId="0" applyNumberFormat="1" applyFont="1" applyAlignment="1">
      <alignment horizontal="right"/>
    </xf>
    <xf numFmtId="25" fontId="7" fillId="0" borderId="0" xfId="0" applyNumberFormat="1" applyFont="1" applyAlignment="1">
      <alignment horizontal="right"/>
    </xf>
    <xf numFmtId="0" fontId="21" fillId="0" borderId="15" xfId="0" applyFont="1" applyBorder="1" applyAlignment="1">
      <alignment horizontal="centerContinuous"/>
    </xf>
    <xf numFmtId="0" fontId="21" fillId="0" borderId="0" xfId="0" applyFont="1" applyAlignment="1">
      <alignment horizontal="centerContinuous"/>
    </xf>
    <xf numFmtId="177" fontId="3" fillId="0" borderId="0" xfId="2" applyFont="1" applyAlignment="1">
      <alignment horizontal="right"/>
    </xf>
    <xf numFmtId="25" fontId="7" fillId="0" borderId="1" xfId="0" applyNumberFormat="1" applyFont="1" applyBorder="1" applyAlignment="1">
      <alignment horizontal="right" vertical="center"/>
    </xf>
    <xf numFmtId="10" fontId="3" fillId="9" borderId="2" xfId="2" applyNumberFormat="1" applyFont="1" applyFill="1" applyBorder="1" applyAlignment="1">
      <alignment horizontal="right" vertical="center"/>
    </xf>
    <xf numFmtId="10" fontId="3" fillId="9" borderId="3" xfId="2" applyNumberFormat="1" applyFont="1" applyFill="1" applyBorder="1" applyAlignment="1">
      <alignment horizontal="right" vertical="center"/>
    </xf>
    <xf numFmtId="10" fontId="3" fillId="9" borderId="13" xfId="2" applyNumberFormat="1" applyFont="1" applyFill="1" applyBorder="1" applyAlignment="1">
      <alignment horizontal="right" vertical="center"/>
    </xf>
    <xf numFmtId="176" fontId="3" fillId="0" borderId="0" xfId="2" applyNumberFormat="1" applyFont="1" applyBorder="1" applyAlignment="1">
      <alignment horizontal="right" vertical="center"/>
    </xf>
    <xf numFmtId="176" fontId="3" fillId="0" borderId="14" xfId="2" applyNumberFormat="1" applyFont="1" applyBorder="1" applyAlignment="1">
      <alignment horizontal="right" vertical="center"/>
    </xf>
    <xf numFmtId="10" fontId="3" fillId="12" borderId="18" xfId="2" applyNumberFormat="1" applyFont="1" applyFill="1" applyBorder="1" applyAlignment="1">
      <alignment horizontal="right" vertical="center"/>
    </xf>
    <xf numFmtId="176" fontId="3" fillId="0" borderId="19" xfId="2" applyNumberFormat="1" applyFont="1" applyBorder="1" applyAlignment="1">
      <alignment horizontal="right" vertical="center"/>
    </xf>
    <xf numFmtId="176" fontId="3" fillId="0" borderId="20" xfId="2" applyNumberFormat="1" applyFont="1" applyBorder="1" applyAlignment="1">
      <alignment horizontal="right" vertical="center"/>
    </xf>
    <xf numFmtId="176" fontId="3" fillId="0" borderId="0" xfId="2" applyNumberFormat="1" applyFont="1" applyBorder="1" applyAlignment="1">
      <alignment horizontal="right"/>
    </xf>
    <xf numFmtId="3" fontId="7" fillId="0" borderId="0" xfId="0" applyNumberFormat="1" applyFont="1" applyAlignment="1">
      <alignment horizontal="centerContinuous"/>
    </xf>
    <xf numFmtId="0" fontId="13" fillId="0" borderId="0" xfId="0" applyFont="1"/>
    <xf numFmtId="3" fontId="4" fillId="0" borderId="0" xfId="0" applyNumberFormat="1" applyFont="1" applyAlignment="1">
      <alignment horizontal="left" wrapText="1"/>
    </xf>
    <xf numFmtId="0" fontId="23" fillId="0" borderId="0" xfId="0" applyFont="1" applyAlignment="1">
      <alignment horizontal="right"/>
    </xf>
    <xf numFmtId="183" fontId="7" fillId="11" borderId="15" xfId="0" applyNumberFormat="1" applyFont="1" applyFill="1" applyBorder="1" applyAlignment="1">
      <alignment horizontal="right"/>
    </xf>
    <xf numFmtId="187" fontId="24" fillId="0" borderId="0" xfId="0" applyNumberFormat="1" applyFont="1"/>
    <xf numFmtId="9" fontId="25" fillId="0" borderId="0" xfId="0" applyNumberFormat="1" applyFont="1"/>
    <xf numFmtId="1" fontId="25" fillId="0" borderId="0" xfId="0" applyNumberFormat="1" applyFont="1"/>
    <xf numFmtId="1" fontId="26" fillId="0" borderId="0" xfId="0" applyNumberFormat="1" applyFont="1"/>
    <xf numFmtId="188" fontId="3" fillId="13" borderId="0" xfId="1" applyNumberFormat="1" applyFont="1" applyFill="1" applyAlignment="1">
      <alignment horizontal="right"/>
    </xf>
    <xf numFmtId="0" fontId="25" fillId="0" borderId="0" xfId="0" applyFont="1"/>
    <xf numFmtId="189" fontId="25" fillId="0" borderId="0" xfId="0" applyNumberFormat="1" applyFont="1"/>
    <xf numFmtId="37" fontId="3" fillId="13" borderId="0" xfId="0" applyNumberFormat="1" applyFont="1" applyFill="1"/>
    <xf numFmtId="41" fontId="3" fillId="13" borderId="0" xfId="0" applyNumberFormat="1" applyFont="1" applyFill="1"/>
    <xf numFmtId="188" fontId="3" fillId="13" borderId="32" xfId="0" applyNumberFormat="1" applyFont="1" applyFill="1" applyBorder="1"/>
    <xf numFmtId="0" fontId="3" fillId="0" borderId="0" xfId="4" applyFont="1"/>
    <xf numFmtId="0" fontId="27" fillId="0" borderId="0" xfId="4" applyFont="1"/>
    <xf numFmtId="0" fontId="2" fillId="0" borderId="0" xfId="4" applyFont="1"/>
    <xf numFmtId="183" fontId="7" fillId="0" borderId="15" xfId="4" applyNumberFormat="1" applyFont="1" applyBorder="1"/>
    <xf numFmtId="23" fontId="3" fillId="0" borderId="0" xfId="0" applyNumberFormat="1" applyFont="1"/>
    <xf numFmtId="184" fontId="3" fillId="0" borderId="32" xfId="0" applyNumberFormat="1" applyFont="1" applyBorder="1"/>
    <xf numFmtId="0" fontId="7" fillId="0" borderId="0" xfId="4" applyFont="1"/>
    <xf numFmtId="23" fontId="7" fillId="0" borderId="0" xfId="0" applyNumberFormat="1" applyFont="1"/>
    <xf numFmtId="0" fontId="0" fillId="0" borderId="32" xfId="0" applyBorder="1"/>
    <xf numFmtId="0" fontId="3" fillId="0" borderId="32" xfId="0" applyFont="1" applyBorder="1"/>
    <xf numFmtId="187" fontId="3" fillId="0" borderId="0" xfId="4" applyNumberFormat="1" applyFont="1"/>
    <xf numFmtId="186" fontId="3" fillId="0" borderId="0" xfId="4" applyNumberFormat="1" applyFont="1"/>
    <xf numFmtId="189" fontId="3" fillId="0" borderId="0" xfId="4" applyNumberFormat="1" applyFont="1"/>
    <xf numFmtId="10" fontId="3" fillId="0" borderId="0" xfId="4" applyNumberFormat="1" applyFont="1"/>
    <xf numFmtId="187" fontId="7" fillId="0" borderId="0" xfId="4" applyNumberFormat="1" applyFont="1"/>
    <xf numFmtId="189" fontId="7" fillId="0" borderId="0" xfId="4" applyNumberFormat="1" applyFont="1"/>
    <xf numFmtId="1" fontId="3" fillId="0" borderId="0" xfId="4" applyNumberFormat="1" applyFont="1"/>
    <xf numFmtId="0" fontId="7" fillId="10" borderId="15" xfId="0" applyFont="1" applyFill="1" applyBorder="1" applyAlignment="1">
      <alignment horizontal="right"/>
    </xf>
    <xf numFmtId="3" fontId="3" fillId="0" borderId="0" xfId="0" applyNumberFormat="1" applyFont="1"/>
    <xf numFmtId="184" fontId="17" fillId="0" borderId="0" xfId="0" applyNumberFormat="1" applyFont="1"/>
    <xf numFmtId="184" fontId="17" fillId="14" borderId="0" xfId="0" applyNumberFormat="1" applyFont="1" applyFill="1"/>
    <xf numFmtId="184" fontId="17" fillId="0" borderId="32" xfId="0" applyNumberFormat="1" applyFont="1" applyBorder="1"/>
    <xf numFmtId="184" fontId="17" fillId="14" borderId="32" xfId="0" applyNumberFormat="1" applyFont="1" applyFill="1" applyBorder="1"/>
    <xf numFmtId="184" fontId="18" fillId="0" borderId="0" xfId="0" applyNumberFormat="1" applyFont="1"/>
    <xf numFmtId="184" fontId="18" fillId="14" borderId="0" xfId="0" applyNumberFormat="1" applyFont="1" applyFill="1"/>
    <xf numFmtId="0" fontId="28" fillId="0" borderId="0" xfId="0" applyFont="1"/>
    <xf numFmtId="0" fontId="3" fillId="15" borderId="0" xfId="0" applyFont="1" applyFill="1"/>
    <xf numFmtId="2" fontId="3" fillId="0" borderId="0" xfId="0" applyNumberFormat="1" applyFont="1"/>
    <xf numFmtId="2" fontId="3" fillId="14" borderId="0" xfId="0" applyNumberFormat="1" applyFont="1" applyFill="1"/>
    <xf numFmtId="10" fontId="3" fillId="0" borderId="0" xfId="3" applyNumberFormat="1" applyFont="1"/>
    <xf numFmtId="10" fontId="3" fillId="14" borderId="0" xfId="3" applyNumberFormat="1" applyFont="1" applyFill="1"/>
    <xf numFmtId="0" fontId="3" fillId="14" borderId="0" xfId="0" applyFont="1" applyFill="1"/>
    <xf numFmtId="37" fontId="13" fillId="0" borderId="0" xfId="0" applyNumberFormat="1" applyFont="1" applyAlignment="1">
      <alignment wrapText="1"/>
    </xf>
    <xf numFmtId="37" fontId="4" fillId="0" borderId="0" xfId="0" applyNumberFormat="1" applyFont="1" applyAlignment="1">
      <alignment horizontal="left" wrapText="1"/>
    </xf>
    <xf numFmtId="37" fontId="29" fillId="0" borderId="0" xfId="0" applyNumberFormat="1" applyFont="1" applyAlignment="1">
      <alignment wrapText="1"/>
    </xf>
    <xf numFmtId="183" fontId="7" fillId="0" borderId="15" xfId="0" applyNumberFormat="1" applyFont="1" applyBorder="1"/>
    <xf numFmtId="37" fontId="7" fillId="0" borderId="0" xfId="0" applyNumberFormat="1" applyFont="1" applyAlignment="1">
      <alignment wrapText="1"/>
    </xf>
    <xf numFmtId="3" fontId="0" fillId="0" borderId="0" xfId="0" applyNumberFormat="1"/>
    <xf numFmtId="184" fontId="3" fillId="14" borderId="0" xfId="0" applyNumberFormat="1" applyFont="1" applyFill="1"/>
    <xf numFmtId="1" fontId="3" fillId="0" borderId="0" xfId="0" applyNumberFormat="1" applyFont="1"/>
    <xf numFmtId="3" fontId="0" fillId="0" borderId="0" xfId="0" applyNumberFormat="1" applyAlignment="1">
      <alignment horizontal="right"/>
    </xf>
    <xf numFmtId="3" fontId="13" fillId="0" borderId="0" xfId="0" applyNumberFormat="1" applyFont="1" applyAlignment="1">
      <alignment wrapText="1"/>
    </xf>
    <xf numFmtId="1" fontId="29" fillId="0" borderId="0" xfId="0" applyNumberFormat="1" applyFont="1" applyAlignment="1">
      <alignment wrapText="1"/>
    </xf>
    <xf numFmtId="1" fontId="7" fillId="0" borderId="15" xfId="0" applyNumberFormat="1" applyFont="1" applyBorder="1" applyAlignment="1">
      <alignment horizontal="right"/>
    </xf>
    <xf numFmtId="183" fontId="7" fillId="0" borderId="15" xfId="0" applyNumberFormat="1" applyFont="1" applyBorder="1" applyAlignment="1">
      <alignment horizontal="right"/>
    </xf>
    <xf numFmtId="1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horizontal="left" wrapText="1" indent="1"/>
    </xf>
    <xf numFmtId="187" fontId="20" fillId="0" borderId="0" xfId="1" applyNumberFormat="1" applyFont="1" applyFill="1" applyAlignment="1" applyProtection="1">
      <alignment horizontal="right"/>
      <protection locked="0"/>
    </xf>
    <xf numFmtId="190" fontId="3" fillId="14" borderId="0" xfId="0" applyNumberFormat="1" applyFont="1" applyFill="1" applyAlignment="1">
      <alignment horizontal="right"/>
    </xf>
    <xf numFmtId="37" fontId="20" fillId="0" borderId="0" xfId="1" applyNumberFormat="1" applyFont="1" applyFill="1" applyAlignment="1" applyProtection="1">
      <alignment horizontal="right"/>
      <protection locked="0"/>
    </xf>
    <xf numFmtId="37" fontId="3" fillId="14" borderId="0" xfId="0" applyNumberFormat="1" applyFont="1" applyFill="1" applyAlignment="1">
      <alignment horizontal="right"/>
    </xf>
    <xf numFmtId="3" fontId="3" fillId="0" borderId="0" xfId="0" applyNumberFormat="1" applyFont="1" applyAlignment="1">
      <alignment wrapText="1"/>
    </xf>
    <xf numFmtId="37" fontId="20" fillId="0" borderId="33" xfId="0" applyNumberFormat="1" applyFont="1" applyBorder="1" applyAlignment="1" applyProtection="1">
      <alignment horizontal="right"/>
      <protection locked="0"/>
    </xf>
    <xf numFmtId="37" fontId="3" fillId="14" borderId="33" xfId="0" applyNumberFormat="1" applyFont="1" applyFill="1" applyBorder="1" applyAlignment="1">
      <alignment horizontal="right"/>
    </xf>
    <xf numFmtId="37" fontId="20" fillId="0" borderId="0" xfId="0" applyNumberFormat="1" applyFont="1" applyAlignment="1" applyProtection="1">
      <alignment horizontal="right"/>
      <protection locked="0"/>
    </xf>
    <xf numFmtId="0" fontId="0" fillId="14" borderId="0" xfId="0" applyFill="1"/>
    <xf numFmtId="3" fontId="20" fillId="0" borderId="0" xfId="0" applyNumberFormat="1" applyFont="1" applyProtection="1">
      <protection locked="0"/>
    </xf>
    <xf numFmtId="37" fontId="20" fillId="0" borderId="0" xfId="1" applyNumberFormat="1" applyFont="1" applyFill="1" applyBorder="1" applyAlignment="1" applyProtection="1">
      <alignment horizontal="right"/>
      <protection locked="0"/>
    </xf>
    <xf numFmtId="37" fontId="3" fillId="0" borderId="0" xfId="0" applyNumberFormat="1" applyFont="1" applyAlignment="1">
      <alignment horizontal="right"/>
    </xf>
    <xf numFmtId="37" fontId="20" fillId="0" borderId="33" xfId="1" applyNumberFormat="1" applyFont="1" applyFill="1" applyBorder="1" applyAlignment="1" applyProtection="1">
      <alignment horizontal="right"/>
      <protection locked="0"/>
    </xf>
    <xf numFmtId="37" fontId="3" fillId="0" borderId="33" xfId="0" applyNumberFormat="1" applyFont="1" applyBorder="1" applyAlignment="1">
      <alignment horizontal="right"/>
    </xf>
    <xf numFmtId="9" fontId="20" fillId="0" borderId="0" xfId="0" applyNumberFormat="1" applyFont="1" applyAlignment="1" applyProtection="1">
      <alignment horizontal="right"/>
      <protection locked="0"/>
    </xf>
    <xf numFmtId="187" fontId="20" fillId="0" borderId="34" xfId="0" applyNumberFormat="1" applyFont="1" applyBorder="1" applyAlignment="1" applyProtection="1">
      <alignment horizontal="right"/>
      <protection locked="0"/>
    </xf>
    <xf numFmtId="187" fontId="7" fillId="0" borderId="34" xfId="0" applyNumberFormat="1" applyFont="1" applyBorder="1" applyAlignment="1">
      <alignment horizontal="right"/>
    </xf>
    <xf numFmtId="37" fontId="20" fillId="0" borderId="35" xfId="0" applyNumberFormat="1" applyFont="1" applyBorder="1" applyAlignment="1" applyProtection="1">
      <alignment horizontal="right"/>
      <protection locked="0"/>
    </xf>
    <xf numFmtId="3" fontId="3" fillId="0" borderId="35" xfId="0" applyNumberFormat="1" applyFont="1" applyBorder="1" applyAlignment="1">
      <alignment horizontal="right"/>
    </xf>
    <xf numFmtId="1" fontId="20" fillId="0" borderId="0" xfId="0" applyNumberFormat="1" applyFont="1" applyAlignment="1" applyProtection="1">
      <alignment horizontal="right"/>
      <protection locked="0"/>
    </xf>
    <xf numFmtId="1" fontId="7" fillId="0" borderId="0" xfId="0" applyNumberFormat="1" applyFont="1" applyAlignment="1">
      <alignment horizontal="right"/>
    </xf>
    <xf numFmtId="37" fontId="3" fillId="11" borderId="0" xfId="0" applyNumberFormat="1" applyFont="1" applyFill="1" applyAlignment="1">
      <alignment horizontal="right"/>
    </xf>
    <xf numFmtId="3" fontId="3" fillId="14" borderId="0" xfId="0" applyNumberFormat="1" applyFont="1" applyFill="1" applyAlignment="1">
      <alignment horizontal="left" wrapText="1" indent="1"/>
    </xf>
    <xf numFmtId="37" fontId="20" fillId="14" borderId="0" xfId="1" applyNumberFormat="1" applyFont="1" applyFill="1" applyAlignment="1" applyProtection="1">
      <alignment horizontal="right"/>
      <protection locked="0"/>
    </xf>
    <xf numFmtId="37" fontId="3" fillId="14" borderId="0" xfId="1" applyNumberFormat="1" applyFont="1" applyFill="1" applyAlignment="1" applyProtection="1">
      <alignment horizontal="right"/>
    </xf>
    <xf numFmtId="3" fontId="3" fillId="14" borderId="0" xfId="0" applyNumberFormat="1" applyFont="1" applyFill="1" applyAlignment="1">
      <alignment horizontal="left" wrapText="1"/>
    </xf>
    <xf numFmtId="37" fontId="20" fillId="14" borderId="33" xfId="1" applyNumberFormat="1" applyFont="1" applyFill="1" applyBorder="1" applyAlignment="1" applyProtection="1">
      <alignment horizontal="right"/>
      <protection locked="0"/>
    </xf>
    <xf numFmtId="186" fontId="20" fillId="14" borderId="0" xfId="0" applyNumberFormat="1" applyFont="1" applyFill="1" applyProtection="1">
      <protection locked="0"/>
    </xf>
    <xf numFmtId="3" fontId="3" fillId="14" borderId="0" xfId="0" applyNumberFormat="1" applyFont="1" applyFill="1" applyAlignment="1">
      <alignment wrapText="1"/>
    </xf>
    <xf numFmtId="10" fontId="20" fillId="14" borderId="0" xfId="0" applyNumberFormat="1" applyFont="1" applyFill="1" applyProtection="1">
      <protection locked="0"/>
    </xf>
    <xf numFmtId="189" fontId="20" fillId="14" borderId="0" xfId="0" applyNumberFormat="1" applyFont="1" applyFill="1" applyAlignment="1" applyProtection="1">
      <alignment horizontal="right"/>
      <protection locked="0"/>
    </xf>
    <xf numFmtId="189" fontId="3" fillId="14" borderId="0" xfId="0" applyNumberFormat="1" applyFont="1" applyFill="1" applyAlignment="1">
      <alignment horizontal="right"/>
    </xf>
    <xf numFmtId="37" fontId="20" fillId="14" borderId="0" xfId="0" applyNumberFormat="1" applyFont="1" applyFill="1" applyAlignment="1" applyProtection="1">
      <alignment horizontal="right"/>
      <protection locked="0"/>
    </xf>
    <xf numFmtId="37" fontId="20" fillId="14" borderId="0" xfId="1" applyNumberFormat="1" applyFont="1" applyFill="1" applyBorder="1" applyAlignment="1" applyProtection="1">
      <alignment horizontal="right"/>
      <protection locked="0"/>
    </xf>
    <xf numFmtId="187" fontId="20" fillId="14" borderId="33" xfId="1" applyNumberFormat="1" applyFont="1" applyFill="1" applyBorder="1" applyAlignment="1" applyProtection="1">
      <alignment horizontal="right"/>
      <protection locked="0"/>
    </xf>
    <xf numFmtId="187" fontId="3" fillId="14" borderId="33" xfId="0" applyNumberFormat="1" applyFont="1" applyFill="1" applyBorder="1" applyAlignment="1">
      <alignment horizontal="right"/>
    </xf>
    <xf numFmtId="9" fontId="20" fillId="14" borderId="32" xfId="0" applyNumberFormat="1" applyFont="1" applyFill="1" applyBorder="1" applyAlignment="1" applyProtection="1">
      <alignment horizontal="right"/>
      <protection locked="0"/>
    </xf>
    <xf numFmtId="37" fontId="3" fillId="14" borderId="32" xfId="0" applyNumberFormat="1" applyFont="1" applyFill="1" applyBorder="1" applyAlignment="1">
      <alignment horizontal="right"/>
    </xf>
    <xf numFmtId="3" fontId="29" fillId="14" borderId="0" xfId="0" applyNumberFormat="1" applyFont="1" applyFill="1" applyAlignment="1">
      <alignment horizontal="left" wrapText="1"/>
    </xf>
    <xf numFmtId="189" fontId="20" fillId="14" borderId="31" xfId="0" applyNumberFormat="1" applyFont="1" applyFill="1" applyBorder="1" applyAlignment="1" applyProtection="1">
      <alignment horizontal="right"/>
      <protection locked="0"/>
    </xf>
    <xf numFmtId="187" fontId="7" fillId="14" borderId="31" xfId="0" applyNumberFormat="1" applyFont="1" applyFill="1" applyBorder="1" applyAlignment="1">
      <alignment horizontal="right"/>
    </xf>
    <xf numFmtId="1" fontId="29" fillId="14" borderId="0" xfId="0" applyNumberFormat="1" applyFont="1" applyFill="1" applyAlignment="1">
      <alignment wrapText="1"/>
    </xf>
    <xf numFmtId="187" fontId="20" fillId="14" borderId="0" xfId="1" applyNumberFormat="1" applyFont="1" applyFill="1" applyAlignment="1" applyProtection="1">
      <alignment horizontal="right"/>
      <protection locked="0"/>
    </xf>
    <xf numFmtId="187" fontId="7" fillId="14" borderId="0" xfId="0" applyNumberFormat="1" applyFont="1" applyFill="1" applyAlignment="1">
      <alignment horizontal="right"/>
    </xf>
    <xf numFmtId="1" fontId="0" fillId="0" borderId="0" xfId="0" applyNumberFormat="1"/>
    <xf numFmtId="0" fontId="30" fillId="0" borderId="0" xfId="0" applyFont="1"/>
    <xf numFmtId="1" fontId="29" fillId="0" borderId="0" xfId="0" applyNumberFormat="1" applyFont="1" applyAlignment="1" applyProtection="1">
      <alignment horizontal="left"/>
      <protection locked="0"/>
    </xf>
    <xf numFmtId="187" fontId="20" fillId="0" borderId="34" xfId="0" applyNumberFormat="1" applyFont="1" applyBorder="1" applyAlignment="1">
      <alignment horizontal="right"/>
    </xf>
    <xf numFmtId="187" fontId="31" fillId="0" borderId="0" xfId="1" applyNumberFormat="1" applyFont="1" applyFill="1" applyAlignment="1" applyProtection="1">
      <alignment horizontal="right"/>
      <protection locked="0"/>
    </xf>
    <xf numFmtId="0" fontId="32" fillId="0" borderId="0" xfId="0" applyFont="1"/>
    <xf numFmtId="191" fontId="3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center"/>
    </xf>
    <xf numFmtId="189" fontId="3" fillId="0" borderId="0" xfId="0" applyNumberFormat="1" applyFont="1" applyAlignment="1">
      <alignment horizontal="right"/>
    </xf>
    <xf numFmtId="37" fontId="0" fillId="0" borderId="0" xfId="0" applyNumberFormat="1"/>
    <xf numFmtId="187" fontId="0" fillId="0" borderId="0" xfId="0" applyNumberFormat="1"/>
    <xf numFmtId="3" fontId="1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horizontal="left" wrapText="1"/>
    </xf>
    <xf numFmtId="0" fontId="7" fillId="0" borderId="15" xfId="0" applyFont="1" applyBorder="1" applyAlignment="1">
      <alignment horizontal="right"/>
    </xf>
    <xf numFmtId="3" fontId="7" fillId="0" borderId="0" xfId="0" applyNumberFormat="1" applyFont="1" applyAlignment="1">
      <alignment horizontal="left" wrapText="1"/>
    </xf>
    <xf numFmtId="187" fontId="20" fillId="0" borderId="0" xfId="1" applyNumberFormat="1" applyFont="1" applyAlignment="1" applyProtection="1">
      <alignment horizontal="right"/>
      <protection locked="0"/>
    </xf>
    <xf numFmtId="187" fontId="7" fillId="11" borderId="0" xfId="0" applyNumberFormat="1" applyFont="1" applyFill="1" applyAlignment="1">
      <alignment horizontal="right"/>
    </xf>
    <xf numFmtId="184" fontId="20" fillId="0" borderId="0" xfId="1" applyNumberFormat="1" applyFont="1" applyAlignment="1" applyProtection="1">
      <alignment horizontal="right"/>
      <protection locked="0"/>
    </xf>
    <xf numFmtId="184" fontId="20" fillId="0" borderId="33" xfId="1" applyNumberFormat="1" applyFont="1" applyBorder="1" applyAlignment="1" applyProtection="1">
      <alignment horizontal="right"/>
      <protection locked="0"/>
    </xf>
    <xf numFmtId="184" fontId="20" fillId="0" borderId="33" xfId="0" applyNumberFormat="1" applyFont="1" applyBorder="1" applyAlignment="1">
      <alignment horizontal="right"/>
    </xf>
    <xf numFmtId="184" fontId="20" fillId="0" borderId="2" xfId="0" applyNumberFormat="1" applyFont="1" applyBorder="1" applyAlignment="1">
      <alignment horizontal="right"/>
    </xf>
    <xf numFmtId="184" fontId="20" fillId="0" borderId="0" xfId="0" applyNumberFormat="1" applyFont="1" applyAlignment="1">
      <alignment horizontal="right"/>
    </xf>
    <xf numFmtId="184" fontId="16" fillId="0" borderId="0" xfId="0" applyNumberFormat="1" applyFont="1" applyAlignment="1">
      <alignment horizontal="right"/>
    </xf>
    <xf numFmtId="23" fontId="16" fillId="0" borderId="34" xfId="0" applyNumberFormat="1" applyFont="1" applyBorder="1" applyAlignment="1">
      <alignment horizontal="right"/>
    </xf>
    <xf numFmtId="23" fontId="3" fillId="0" borderId="34" xfId="0" applyNumberFormat="1" applyFont="1" applyBorder="1" applyAlignment="1">
      <alignment horizontal="right"/>
    </xf>
    <xf numFmtId="9" fontId="3" fillId="0" borderId="0" xfId="0" applyNumberFormat="1" applyFont="1" applyAlignment="1">
      <alignment horizontal="right"/>
    </xf>
    <xf numFmtId="192" fontId="3" fillId="0" borderId="0" xfId="0" applyNumberFormat="1" applyFont="1" applyAlignment="1">
      <alignment horizontal="right"/>
    </xf>
    <xf numFmtId="176" fontId="3" fillId="0" borderId="0" xfId="1" applyFont="1"/>
    <xf numFmtId="0" fontId="16" fillId="0" borderId="0" xfId="0" applyFont="1"/>
    <xf numFmtId="0" fontId="34" fillId="9" borderId="0" xfId="0" applyFont="1" applyFill="1"/>
    <xf numFmtId="0" fontId="3" fillId="9" borderId="0" xfId="0" applyFont="1" applyFill="1"/>
    <xf numFmtId="0" fontId="35" fillId="9" borderId="0" xfId="0" applyFont="1" applyFill="1"/>
    <xf numFmtId="0" fontId="3" fillId="0" borderId="15" xfId="0" applyFont="1" applyBorder="1" applyAlignment="1">
      <alignment horizontal="centerContinuous"/>
    </xf>
    <xf numFmtId="0" fontId="3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/>
    <xf numFmtId="0" fontId="21" fillId="0" borderId="15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83" fontId="7" fillId="0" borderId="32" xfId="0" applyNumberFormat="1" applyFont="1" applyBorder="1" applyAlignment="1">
      <alignment horizontal="center"/>
    </xf>
    <xf numFmtId="186" fontId="38" fillId="0" borderId="0" xfId="3" applyNumberFormat="1" applyFont="1" applyFill="1" applyAlignment="1">
      <alignment horizontal="center"/>
    </xf>
    <xf numFmtId="0" fontId="38" fillId="0" borderId="0" xfId="0" applyFont="1"/>
    <xf numFmtId="3" fontId="3" fillId="0" borderId="0" xfId="0" applyNumberFormat="1" applyFont="1" applyAlignment="1">
      <alignment horizontal="left" wrapText="1" indent="2"/>
    </xf>
    <xf numFmtId="193" fontId="3" fillId="0" borderId="0" xfId="0" applyNumberFormat="1" applyFont="1"/>
    <xf numFmtId="186" fontId="3" fillId="0" borderId="0" xfId="3" applyNumberFormat="1" applyFont="1" applyFill="1" applyAlignment="1">
      <alignment horizontal="center"/>
    </xf>
    <xf numFmtId="176" fontId="3" fillId="0" borderId="0" xfId="1" applyFont="1" applyFill="1"/>
    <xf numFmtId="37" fontId="38" fillId="0" borderId="0" xfId="0" applyNumberFormat="1" applyFont="1" applyAlignment="1">
      <alignment horizontal="center"/>
    </xf>
    <xf numFmtId="0" fontId="21" fillId="0" borderId="15" xfId="0" applyFont="1" applyBorder="1"/>
    <xf numFmtId="3" fontId="29" fillId="0" borderId="0" xfId="0" applyNumberFormat="1" applyFont="1" applyAlignment="1">
      <alignment horizontal="left"/>
    </xf>
    <xf numFmtId="194" fontId="3" fillId="0" borderId="0" xfId="0" applyNumberFormat="1" applyFont="1" applyAlignment="1">
      <alignment horizontal="left" wrapText="1" indent="1"/>
    </xf>
    <xf numFmtId="186" fontId="3" fillId="0" borderId="0" xfId="0" applyNumberFormat="1" applyFont="1" applyAlignment="1">
      <alignment horizontal="center"/>
    </xf>
    <xf numFmtId="187" fontId="16" fillId="0" borderId="0" xfId="2" applyNumberFormat="1" applyFont="1" applyFill="1" applyAlignment="1">
      <alignment horizontal="center"/>
    </xf>
    <xf numFmtId="3" fontId="16" fillId="0" borderId="0" xfId="0" applyNumberFormat="1" applyFont="1" applyAlignment="1">
      <alignment horizontal="left" wrapText="1" indent="1"/>
    </xf>
    <xf numFmtId="187" fontId="16" fillId="0" borderId="0" xfId="6" applyNumberFormat="1" applyFont="1" applyAlignment="1">
      <alignment horizontal="center"/>
    </xf>
    <xf numFmtId="196" fontId="16" fillId="0" borderId="0" xfId="0" applyNumberFormat="1" applyFont="1" applyAlignment="1">
      <alignment horizontal="center"/>
    </xf>
    <xf numFmtId="186" fontId="38" fillId="0" borderId="0" xfId="0" applyNumberFormat="1" applyFont="1" applyAlignment="1">
      <alignment horizontal="center"/>
    </xf>
    <xf numFmtId="193" fontId="16" fillId="0" borderId="0" xfId="6" applyNumberFormat="1" applyFont="1" applyAlignment="1">
      <alignment horizontal="center" vertical="top"/>
    </xf>
    <xf numFmtId="37" fontId="16" fillId="0" borderId="0" xfId="6" applyNumberFormat="1" applyFont="1" applyAlignment="1">
      <alignment horizontal="center" vertical="top"/>
    </xf>
    <xf numFmtId="186" fontId="3" fillId="0" borderId="0" xfId="0" applyNumberFormat="1" applyFont="1" applyAlignment="1">
      <alignment horizontal="right"/>
    </xf>
    <xf numFmtId="186" fontId="16" fillId="0" borderId="0" xfId="0" applyNumberFormat="1" applyFont="1" applyAlignment="1">
      <alignment horizontal="right"/>
    </xf>
    <xf numFmtId="3" fontId="29" fillId="0" borderId="0" xfId="0" applyNumberFormat="1" applyFont="1" applyAlignment="1">
      <alignment horizontal="left" wrapText="1"/>
    </xf>
    <xf numFmtId="186" fontId="16" fillId="0" borderId="0" xfId="0" applyNumberFormat="1" applyFont="1" applyAlignment="1">
      <alignment horizontal="center"/>
    </xf>
    <xf numFmtId="187" fontId="38" fillId="0" borderId="0" xfId="2" applyNumberFormat="1" applyFont="1" applyFill="1" applyAlignment="1">
      <alignment horizontal="center"/>
    </xf>
    <xf numFmtId="186" fontId="3" fillId="0" borderId="0" xfId="0" applyNumberFormat="1" applyFont="1"/>
    <xf numFmtId="186" fontId="38" fillId="0" borderId="0" xfId="2" applyNumberFormat="1" applyFont="1" applyFill="1" applyAlignment="1">
      <alignment horizontal="center"/>
    </xf>
    <xf numFmtId="10" fontId="3" fillId="0" borderId="0" xfId="0" applyNumberFormat="1" applyFont="1"/>
    <xf numFmtId="3" fontId="21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0" fontId="9" fillId="0" borderId="0" xfId="0" applyFont="1"/>
    <xf numFmtId="0" fontId="3" fillId="0" borderId="0" xfId="0" applyFont="1" applyAlignment="1">
      <alignment horizontal="centerContinuous"/>
    </xf>
    <xf numFmtId="196" fontId="16" fillId="0" borderId="0" xfId="0" applyNumberFormat="1" applyFont="1"/>
    <xf numFmtId="0" fontId="27" fillId="0" borderId="0" xfId="0" applyFont="1"/>
    <xf numFmtId="3" fontId="17" fillId="0" borderId="0" xfId="0" applyNumberFormat="1" applyFont="1" applyAlignment="1">
      <alignment horizontal="left" wrapText="1"/>
    </xf>
    <xf numFmtId="0" fontId="17" fillId="0" borderId="0" xfId="0" applyFont="1"/>
    <xf numFmtId="186" fontId="17" fillId="0" borderId="0" xfId="3" applyNumberFormat="1" applyFont="1" applyFill="1" applyAlignment="1">
      <alignment horizontal="center"/>
    </xf>
    <xf numFmtId="3" fontId="17" fillId="0" borderId="0" xfId="0" applyNumberFormat="1" applyFont="1" applyAlignment="1">
      <alignment horizontal="left" wrapText="1" indent="1"/>
    </xf>
    <xf numFmtId="3" fontId="17" fillId="0" borderId="0" xfId="0" applyNumberFormat="1" applyFont="1" applyAlignment="1">
      <alignment horizontal="left" indent="1"/>
    </xf>
    <xf numFmtId="3" fontId="17" fillId="0" borderId="0" xfId="0" applyNumberFormat="1" applyFont="1" applyAlignment="1">
      <alignment horizontal="left" wrapText="1" indent="2"/>
    </xf>
    <xf numFmtId="193" fontId="17" fillId="0" borderId="0" xfId="0" applyNumberFormat="1" applyFont="1"/>
    <xf numFmtId="3" fontId="17" fillId="0" borderId="0" xfId="0" applyNumberFormat="1" applyFont="1" applyAlignment="1">
      <alignment horizontal="left"/>
    </xf>
    <xf numFmtId="3" fontId="39" fillId="0" borderId="0" xfId="0" applyNumberFormat="1" applyFont="1"/>
    <xf numFmtId="176" fontId="17" fillId="0" borderId="0" xfId="1" applyFont="1" applyFill="1"/>
    <xf numFmtId="37" fontId="17" fillId="0" borderId="0" xfId="0" applyNumberFormat="1" applyFont="1" applyAlignment="1">
      <alignment horizontal="center"/>
    </xf>
    <xf numFmtId="183" fontId="18" fillId="0" borderId="32" xfId="0" applyNumberFormat="1" applyFont="1" applyBorder="1" applyAlignment="1">
      <alignment horizontal="center"/>
    </xf>
    <xf numFmtId="3" fontId="41" fillId="0" borderId="0" xfId="0" applyNumberFormat="1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wrapText="1"/>
    </xf>
    <xf numFmtId="194" fontId="17" fillId="0" borderId="0" xfId="0" applyNumberFormat="1" applyFont="1" applyAlignment="1">
      <alignment horizontal="left" wrapText="1" indent="1"/>
    </xf>
    <xf numFmtId="3" fontId="17" fillId="0" borderId="0" xfId="0" applyNumberFormat="1" applyFont="1" applyAlignment="1">
      <alignment wrapText="1"/>
    </xf>
    <xf numFmtId="0" fontId="39" fillId="0" borderId="0" xfId="0" applyFont="1"/>
    <xf numFmtId="187" fontId="17" fillId="0" borderId="0" xfId="2" applyNumberFormat="1" applyFont="1" applyFill="1" applyAlignment="1">
      <alignment horizontal="center"/>
    </xf>
    <xf numFmtId="1" fontId="41" fillId="0" borderId="0" xfId="0" applyNumberFormat="1" applyFont="1" applyAlignment="1">
      <alignment wrapText="1"/>
    </xf>
    <xf numFmtId="0" fontId="42" fillId="0" borderId="0" xfId="0" applyFont="1"/>
    <xf numFmtId="1" fontId="27" fillId="0" borderId="0" xfId="0" applyNumberFormat="1" applyFont="1"/>
    <xf numFmtId="37" fontId="7" fillId="11" borderId="31" xfId="0" applyNumberFormat="1" applyFont="1" applyFill="1" applyBorder="1"/>
    <xf numFmtId="188" fontId="7" fillId="11" borderId="31" xfId="1" applyNumberFormat="1" applyFont="1" applyFill="1" applyBorder="1" applyAlignment="1">
      <alignment horizontal="right"/>
    </xf>
    <xf numFmtId="184" fontId="7" fillId="0" borderId="33" xfId="1" applyNumberFormat="1" applyFont="1" applyBorder="1" applyAlignment="1" applyProtection="1">
      <alignment horizontal="right"/>
    </xf>
    <xf numFmtId="184" fontId="3" fillId="0" borderId="0" xfId="1" applyNumberFormat="1" applyFont="1" applyAlignment="1" applyProtection="1">
      <alignment horizontal="right"/>
    </xf>
    <xf numFmtId="184" fontId="3" fillId="14" borderId="0" xfId="1" applyNumberFormat="1" applyFont="1" applyFill="1" applyAlignment="1" applyProtection="1">
      <alignment horizontal="right"/>
    </xf>
    <xf numFmtId="184" fontId="7" fillId="14" borderId="33" xfId="0" applyNumberFormat="1" applyFont="1" applyFill="1" applyBorder="1" applyAlignment="1">
      <alignment horizontal="right"/>
    </xf>
    <xf numFmtId="184" fontId="7" fillId="0" borderId="2" xfId="0" applyNumberFormat="1" applyFont="1" applyBorder="1" applyAlignment="1">
      <alignment horizontal="right"/>
    </xf>
    <xf numFmtId="0" fontId="21" fillId="0" borderId="15" xfId="0" applyFont="1" applyBorder="1" applyAlignment="1">
      <alignment horizontal="center"/>
    </xf>
    <xf numFmtId="186" fontId="3" fillId="0" borderId="38" xfId="0" applyNumberFormat="1" applyFont="1" applyBorder="1" applyAlignment="1">
      <alignment horizontal="center"/>
    </xf>
    <xf numFmtId="186" fontId="3" fillId="0" borderId="31" xfId="0" applyNumberFormat="1" applyFont="1" applyBorder="1" applyAlignment="1">
      <alignment horizontal="center"/>
    </xf>
    <xf numFmtId="186" fontId="3" fillId="0" borderId="42" xfId="0" applyNumberFormat="1" applyFont="1" applyBorder="1" applyAlignment="1">
      <alignment horizontal="center"/>
    </xf>
    <xf numFmtId="186" fontId="3" fillId="0" borderId="36" xfId="0" applyNumberFormat="1" applyFont="1" applyBorder="1" applyAlignment="1">
      <alignment horizontal="center" vertical="center"/>
    </xf>
    <xf numFmtId="186" fontId="3" fillId="0" borderId="33" xfId="0" applyNumberFormat="1" applyFont="1" applyBorder="1" applyAlignment="1">
      <alignment horizontal="center" vertical="center"/>
    </xf>
    <xf numFmtId="186" fontId="3" fillId="0" borderId="40" xfId="0" applyNumberFormat="1" applyFont="1" applyBorder="1" applyAlignment="1">
      <alignment horizontal="center" vertical="center"/>
    </xf>
    <xf numFmtId="186" fontId="3" fillId="0" borderId="37" xfId="0" applyNumberFormat="1" applyFont="1" applyBorder="1" applyAlignment="1">
      <alignment horizontal="center" vertical="center"/>
    </xf>
    <xf numFmtId="186" fontId="3" fillId="0" borderId="32" xfId="0" applyNumberFormat="1" applyFont="1" applyBorder="1" applyAlignment="1">
      <alignment horizontal="center" vertical="center"/>
    </xf>
    <xf numFmtId="186" fontId="3" fillId="0" borderId="41" xfId="0" applyNumberFormat="1" applyFont="1" applyBorder="1" applyAlignment="1">
      <alignment horizontal="center" vertical="center"/>
    </xf>
    <xf numFmtId="0" fontId="40" fillId="0" borderId="15" xfId="0" applyFont="1" applyBorder="1" applyAlignment="1">
      <alignment horizontal="center"/>
    </xf>
    <xf numFmtId="186" fontId="17" fillId="0" borderId="38" xfId="0" applyNumberFormat="1" applyFont="1" applyBorder="1" applyAlignment="1">
      <alignment horizontal="center"/>
    </xf>
    <xf numFmtId="186" fontId="17" fillId="0" borderId="31" xfId="0" applyNumberFormat="1" applyFont="1" applyBorder="1" applyAlignment="1">
      <alignment horizontal="center"/>
    </xf>
    <xf numFmtId="186" fontId="17" fillId="0" borderId="42" xfId="0" applyNumberFormat="1" applyFont="1" applyBorder="1" applyAlignment="1">
      <alignment horizontal="center"/>
    </xf>
    <xf numFmtId="195" fontId="17" fillId="0" borderId="36" xfId="6" applyNumberFormat="1" applyFont="1" applyBorder="1" applyAlignment="1">
      <alignment horizontal="center" vertical="center"/>
    </xf>
    <xf numFmtId="195" fontId="17" fillId="0" borderId="33" xfId="6" applyNumberFormat="1" applyFont="1" applyBorder="1" applyAlignment="1">
      <alignment horizontal="center" vertical="center"/>
    </xf>
    <xf numFmtId="195" fontId="17" fillId="0" borderId="40" xfId="6" applyNumberFormat="1" applyFont="1" applyBorder="1" applyAlignment="1">
      <alignment horizontal="center" vertical="center"/>
    </xf>
    <xf numFmtId="195" fontId="17" fillId="0" borderId="39" xfId="6" applyNumberFormat="1" applyFont="1" applyBorder="1" applyAlignment="1">
      <alignment horizontal="center" vertical="center"/>
    </xf>
    <xf numFmtId="195" fontId="17" fillId="0" borderId="0" xfId="6" applyNumberFormat="1" applyFont="1" applyAlignment="1">
      <alignment horizontal="center" vertical="center"/>
    </xf>
    <xf numFmtId="195" fontId="17" fillId="0" borderId="43" xfId="6" applyNumberFormat="1" applyFont="1" applyBorder="1" applyAlignment="1">
      <alignment horizontal="center" vertical="center"/>
    </xf>
    <xf numFmtId="195" fontId="17" fillId="0" borderId="37" xfId="6" applyNumberFormat="1" applyFont="1" applyBorder="1" applyAlignment="1">
      <alignment horizontal="center" vertical="center"/>
    </xf>
    <xf numFmtId="195" fontId="17" fillId="0" borderId="32" xfId="6" applyNumberFormat="1" applyFont="1" applyBorder="1" applyAlignment="1">
      <alignment horizontal="center" vertical="center"/>
    </xf>
    <xf numFmtId="195" fontId="17" fillId="0" borderId="41" xfId="6" applyNumberFormat="1" applyFont="1" applyBorder="1" applyAlignment="1">
      <alignment horizontal="center" vertical="center"/>
    </xf>
    <xf numFmtId="195" fontId="3" fillId="0" borderId="36" xfId="6" applyNumberFormat="1" applyFont="1" applyBorder="1" applyAlignment="1">
      <alignment horizontal="center" vertical="center"/>
    </xf>
    <xf numFmtId="195" fontId="3" fillId="0" borderId="33" xfId="6" applyNumberFormat="1" applyFont="1" applyBorder="1" applyAlignment="1">
      <alignment horizontal="center" vertical="center"/>
    </xf>
    <xf numFmtId="195" fontId="3" fillId="0" borderId="40" xfId="6" applyNumberFormat="1" applyFont="1" applyBorder="1" applyAlignment="1">
      <alignment horizontal="center" vertical="center"/>
    </xf>
    <xf numFmtId="195" fontId="3" fillId="0" borderId="39" xfId="6" applyNumberFormat="1" applyFont="1" applyBorder="1" applyAlignment="1">
      <alignment horizontal="center" vertical="center"/>
    </xf>
    <xf numFmtId="195" fontId="3" fillId="0" borderId="0" xfId="6" applyNumberFormat="1" applyFont="1" applyAlignment="1">
      <alignment horizontal="center" vertical="center"/>
    </xf>
    <xf numFmtId="195" fontId="3" fillId="0" borderId="43" xfId="6" applyNumberFormat="1" applyFont="1" applyBorder="1" applyAlignment="1">
      <alignment horizontal="center" vertical="center"/>
    </xf>
    <xf numFmtId="195" fontId="3" fillId="0" borderId="37" xfId="6" applyNumberFormat="1" applyFont="1" applyBorder="1" applyAlignment="1">
      <alignment horizontal="center" vertical="center"/>
    </xf>
    <xf numFmtId="195" fontId="3" fillId="0" borderId="32" xfId="6" applyNumberFormat="1" applyFont="1" applyBorder="1" applyAlignment="1">
      <alignment horizontal="center" vertical="center"/>
    </xf>
    <xf numFmtId="195" fontId="3" fillId="0" borderId="41" xfId="6" applyNumberFormat="1" applyFont="1" applyBorder="1" applyAlignment="1">
      <alignment horizontal="center" vertical="center"/>
    </xf>
    <xf numFmtId="195" fontId="16" fillId="0" borderId="36" xfId="6" applyNumberFormat="1" applyFont="1" applyBorder="1" applyAlignment="1">
      <alignment horizontal="center" vertical="center"/>
    </xf>
    <xf numFmtId="195" fontId="16" fillId="0" borderId="33" xfId="6" applyNumberFormat="1" applyFont="1" applyBorder="1" applyAlignment="1">
      <alignment horizontal="center" vertical="center"/>
    </xf>
    <xf numFmtId="195" fontId="16" fillId="0" borderId="40" xfId="6" applyNumberFormat="1" applyFont="1" applyBorder="1" applyAlignment="1">
      <alignment horizontal="center" vertical="center"/>
    </xf>
    <xf numFmtId="195" fontId="16" fillId="0" borderId="39" xfId="6" applyNumberFormat="1" applyFont="1" applyBorder="1" applyAlignment="1">
      <alignment horizontal="center" vertical="center"/>
    </xf>
    <xf numFmtId="195" fontId="16" fillId="0" borderId="0" xfId="6" applyNumberFormat="1" applyFont="1" applyAlignment="1">
      <alignment horizontal="center" vertical="center"/>
    </xf>
    <xf numFmtId="195" fontId="16" fillId="0" borderId="43" xfId="6" applyNumberFormat="1" applyFont="1" applyBorder="1" applyAlignment="1">
      <alignment horizontal="center" vertical="center"/>
    </xf>
    <xf numFmtId="195" fontId="16" fillId="0" borderId="37" xfId="6" applyNumberFormat="1" applyFont="1" applyBorder="1" applyAlignment="1">
      <alignment horizontal="center" vertical="center"/>
    </xf>
    <xf numFmtId="195" fontId="16" fillId="0" borderId="32" xfId="6" applyNumberFormat="1" applyFont="1" applyBorder="1" applyAlignment="1">
      <alignment horizontal="center" vertical="center"/>
    </xf>
    <xf numFmtId="195" fontId="16" fillId="0" borderId="41" xfId="6" applyNumberFormat="1" applyFont="1" applyBorder="1" applyAlignment="1">
      <alignment horizontal="center" vertical="center"/>
    </xf>
    <xf numFmtId="186" fontId="17" fillId="0" borderId="36" xfId="0" applyNumberFormat="1" applyFont="1" applyBorder="1" applyAlignment="1">
      <alignment horizontal="center" vertical="center"/>
    </xf>
    <xf numFmtId="186" fontId="17" fillId="0" borderId="33" xfId="0" applyNumberFormat="1" applyFont="1" applyBorder="1" applyAlignment="1">
      <alignment horizontal="center" vertical="center"/>
    </xf>
    <xf numFmtId="186" fontId="17" fillId="0" borderId="40" xfId="0" applyNumberFormat="1" applyFont="1" applyBorder="1" applyAlignment="1">
      <alignment horizontal="center" vertical="center"/>
    </xf>
    <xf numFmtId="186" fontId="17" fillId="0" borderId="37" xfId="0" applyNumberFormat="1" applyFont="1" applyBorder="1" applyAlignment="1">
      <alignment horizontal="center" vertical="center"/>
    </xf>
    <xf numFmtId="186" fontId="17" fillId="0" borderId="32" xfId="0" applyNumberFormat="1" applyFont="1" applyBorder="1" applyAlignment="1">
      <alignment horizontal="center" vertical="center"/>
    </xf>
    <xf numFmtId="186" fontId="17" fillId="0" borderId="41" xfId="0" applyNumberFormat="1" applyFont="1" applyBorder="1" applyAlignment="1">
      <alignment horizontal="center" vertical="center"/>
    </xf>
    <xf numFmtId="3" fontId="21" fillId="0" borderId="15" xfId="0" applyNumberFormat="1" applyFont="1" applyBorder="1" applyAlignment="1">
      <alignment horizontal="center" wrapText="1"/>
    </xf>
    <xf numFmtId="3" fontId="3" fillId="0" borderId="15" xfId="0" applyNumberFormat="1" applyFont="1" applyBorder="1" applyAlignment="1">
      <alignment horizontal="center" wrapText="1"/>
    </xf>
    <xf numFmtId="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right" vertical="center" textRotation="90"/>
    </xf>
    <xf numFmtId="0" fontId="7" fillId="0" borderId="19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</cellXfs>
  <cellStyles count="7">
    <cellStyle name="Comma" xfId="1" builtinId="3"/>
    <cellStyle name="Currency" xfId="2" builtinId="4"/>
    <cellStyle name="Normal" xfId="0" builtinId="0"/>
    <cellStyle name="Normal 2" xfId="4" xr:uid="{00000000-0005-0000-0000-000031000000}"/>
    <cellStyle name="Percent" xfId="3" builtinId="5"/>
    <cellStyle name="Table_Header_Units" xfId="5" xr:uid="{00000000-0005-0000-0000-000032000000}"/>
    <cellStyle name="TextNormal" xfId="6" xr:uid="{00000000-0005-0000-0000-000033000000}"/>
  </cellStyles>
  <dxfs count="6">
    <dxf>
      <font>
        <color theme="0"/>
      </font>
      <fill>
        <patternFill patternType="solid">
          <bgColor rgb="FF4B982C"/>
        </patternFill>
      </fill>
    </dxf>
    <dxf>
      <font>
        <color theme="1"/>
      </font>
      <fill>
        <patternFill patternType="solid">
          <bgColor rgb="FFF6E96A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rgb="FFF6E96A"/>
        </patternFill>
      </fill>
    </dxf>
    <dxf>
      <font>
        <color theme="0"/>
      </font>
      <fill>
        <patternFill patternType="solid">
          <bgColor rgb="FF4B982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6E96A"/>
      <color rgb="FFF8FE00"/>
      <color rgb="FF4B982C"/>
      <color rgb="FFF2FDB3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39" fmlaLink="$B$40" horiz="1" max="80" min="20" page="10" val="8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361950</xdr:colOff>
          <xdr:row>38</xdr:row>
          <xdr:rowOff>95250</xdr:rowOff>
        </xdr:from>
        <xdr:to>
          <xdr:col>5</xdr:col>
          <xdr:colOff>406400</xdr:colOff>
          <xdr:row>40</xdr:row>
          <xdr:rowOff>31750</xdr:rowOff>
        </xdr:to>
        <xdr:sp macro="" textlink="">
          <xdr:nvSpPr>
            <xdr:cNvPr id="10242" name="Scroll Bar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9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D121"/>
  <sheetViews>
    <sheetView showGridLines="0" workbookViewId="0">
      <selection activeCell="D10" sqref="D10"/>
    </sheetView>
  </sheetViews>
  <sheetFormatPr defaultColWidth="8.81640625" defaultRowHeight="10"/>
  <cols>
    <col min="1" max="1" width="73.7265625" style="4" customWidth="1"/>
    <col min="2" max="2" width="3.08984375" style="4" customWidth="1"/>
    <col min="3" max="3" width="4.6328125" style="4" customWidth="1"/>
    <col min="4" max="4" width="9.26953125" style="4" customWidth="1"/>
    <col min="5" max="7" width="11.08984375" style="4" customWidth="1"/>
    <col min="8" max="10" width="8.81640625" style="4"/>
    <col min="11" max="11" width="11.08984375" style="4" customWidth="1"/>
    <col min="12" max="13" width="11" style="4" customWidth="1"/>
    <col min="14" max="15" width="8.81640625" style="4"/>
    <col min="16" max="16" width="3.36328125" style="4" customWidth="1"/>
    <col min="17" max="19" width="11.08984375" style="4" customWidth="1"/>
    <col min="20" max="21" width="8.81640625" style="4"/>
    <col min="22" max="22" width="3.7265625" style="4" customWidth="1"/>
    <col min="23" max="25" width="11.08984375" style="4" customWidth="1"/>
    <col min="26" max="28" width="8.81640625" style="4"/>
    <col min="29" max="29" width="8.81640625" style="4" customWidth="1"/>
    <col min="30" max="16384" width="8.81640625" style="4"/>
  </cols>
  <sheetData>
    <row r="1" spans="1:30" ht="18">
      <c r="A1" s="104" t="str">
        <f>D6</f>
        <v>Abercrombie &amp; Fitch Co.</v>
      </c>
      <c r="B1" s="289"/>
      <c r="C1" s="290"/>
      <c r="D1" s="290"/>
      <c r="E1" s="290"/>
      <c r="F1" s="290"/>
      <c r="G1" s="291"/>
      <c r="H1" s="291"/>
      <c r="I1" s="291"/>
      <c r="J1" s="290"/>
      <c r="K1" s="290"/>
      <c r="L1" s="290"/>
      <c r="M1" s="291"/>
      <c r="N1" s="291"/>
      <c r="O1" s="291"/>
      <c r="P1" s="290"/>
      <c r="Q1" s="290"/>
      <c r="R1" s="290"/>
      <c r="S1" s="291"/>
      <c r="T1" s="291"/>
      <c r="U1" s="291"/>
      <c r="V1" s="290"/>
      <c r="W1" s="290"/>
      <c r="X1" s="290"/>
      <c r="Y1" s="291"/>
      <c r="Z1" s="291"/>
      <c r="AA1" s="291"/>
    </row>
    <row r="4" spans="1:30" ht="15.5">
      <c r="A4" s="141" t="s">
        <v>0</v>
      </c>
      <c r="B4" s="141"/>
      <c r="C4" s="141"/>
      <c r="D4" s="141"/>
      <c r="E4" s="141"/>
      <c r="F4" s="141"/>
      <c r="G4" s="141"/>
      <c r="H4" s="292"/>
      <c r="I4" s="292"/>
      <c r="K4"/>
      <c r="L4"/>
      <c r="M4"/>
      <c r="N4"/>
      <c r="O4"/>
      <c r="P4"/>
      <c r="Q4"/>
      <c r="S4"/>
      <c r="T4"/>
      <c r="U4"/>
      <c r="V4"/>
      <c r="W4"/>
      <c r="X4"/>
      <c r="Y4"/>
      <c r="Z4"/>
      <c r="AA4"/>
      <c r="AB4"/>
      <c r="AC4"/>
      <c r="AD4"/>
    </row>
    <row r="5" spans="1:30" ht="12.5">
      <c r="I5" s="4" t="s">
        <v>1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>
      <c r="A6" s="4" t="s">
        <v>2</v>
      </c>
      <c r="C6" s="293"/>
      <c r="D6" s="293" t="s">
        <v>3</v>
      </c>
    </row>
    <row r="7" spans="1:30">
      <c r="A7" s="4" t="s">
        <v>4</v>
      </c>
      <c r="C7" s="293"/>
      <c r="D7" s="293" t="s">
        <v>5</v>
      </c>
    </row>
    <row r="8" spans="1:30">
      <c r="A8" s="4" t="s">
        <v>6</v>
      </c>
      <c r="C8" s="34"/>
      <c r="D8" s="294">
        <v>0</v>
      </c>
      <c r="F8" s="295"/>
      <c r="L8" s="328"/>
      <c r="R8" s="328"/>
      <c r="X8" s="328"/>
    </row>
    <row r="9" spans="1:30">
      <c r="A9" s="4" t="s">
        <v>7</v>
      </c>
      <c r="C9" s="34"/>
      <c r="D9" s="294">
        <v>2016</v>
      </c>
      <c r="F9" s="295"/>
      <c r="L9" s="328"/>
      <c r="R9" s="328"/>
      <c r="X9" s="328"/>
    </row>
    <row r="10" spans="1:30">
      <c r="A10" s="4" t="s">
        <v>8</v>
      </c>
      <c r="B10" s="215"/>
      <c r="C10" s="295"/>
      <c r="D10" s="293" t="s">
        <v>9</v>
      </c>
      <c r="E10" s="295"/>
      <c r="F10" s="295"/>
      <c r="K10" s="328"/>
      <c r="L10" s="328"/>
      <c r="Q10" s="328"/>
      <c r="R10" s="328"/>
      <c r="W10" s="328"/>
      <c r="X10" s="328"/>
    </row>
    <row r="11" spans="1:30">
      <c r="A11" s="4" t="s">
        <v>10</v>
      </c>
      <c r="B11" s="215"/>
      <c r="C11" s="295"/>
      <c r="D11" s="293">
        <v>0</v>
      </c>
      <c r="E11" s="295"/>
      <c r="F11" s="295"/>
      <c r="K11" s="328"/>
      <c r="L11" s="328"/>
      <c r="Q11" s="328"/>
      <c r="R11" s="328"/>
      <c r="W11" s="328"/>
      <c r="X11" s="328"/>
    </row>
    <row r="12" spans="1:30">
      <c r="B12" s="215"/>
      <c r="C12" s="295"/>
      <c r="E12" s="295"/>
      <c r="F12" s="295"/>
      <c r="K12" s="328"/>
      <c r="L12" s="328"/>
      <c r="Q12" s="328"/>
      <c r="R12" s="328"/>
      <c r="W12" s="328"/>
      <c r="X12" s="328"/>
    </row>
    <row r="13" spans="1:30" ht="15.5">
      <c r="A13"/>
      <c r="B13"/>
      <c r="C13"/>
      <c r="D13"/>
      <c r="E13" s="361" t="s">
        <v>9</v>
      </c>
      <c r="F13" s="361"/>
      <c r="G13" s="361"/>
      <c r="H13" s="361"/>
      <c r="I13" s="361"/>
      <c r="J13"/>
      <c r="K13" s="361" t="s">
        <v>11</v>
      </c>
      <c r="L13" s="361"/>
      <c r="M13" s="361"/>
      <c r="N13" s="361"/>
      <c r="O13" s="361"/>
      <c r="P13" s="329"/>
      <c r="Q13" s="361" t="s">
        <v>12</v>
      </c>
      <c r="R13" s="361"/>
      <c r="S13" s="361"/>
      <c r="T13" s="361"/>
      <c r="U13" s="361"/>
      <c r="V13" s="328"/>
      <c r="W13"/>
      <c r="X13"/>
      <c r="Y13"/>
      <c r="Z13"/>
      <c r="AA13"/>
    </row>
    <row r="14" spans="1:30" ht="12.5">
      <c r="A14" s="215"/>
      <c r="B14" s="215"/>
      <c r="W14"/>
      <c r="X14"/>
      <c r="Y14"/>
      <c r="Z14"/>
      <c r="AA14"/>
    </row>
    <row r="15" spans="1:30" ht="15.5">
      <c r="A15" s="296" t="s">
        <v>13</v>
      </c>
      <c r="B15"/>
      <c r="C15"/>
      <c r="D15"/>
      <c r="E15"/>
      <c r="F15"/>
      <c r="G15"/>
      <c r="H15"/>
      <c r="I15"/>
      <c r="K15"/>
      <c r="L15"/>
      <c r="M15"/>
      <c r="N15"/>
      <c r="O15"/>
      <c r="P15"/>
      <c r="Q15"/>
      <c r="R15"/>
      <c r="S15"/>
      <c r="T15"/>
      <c r="U15"/>
      <c r="V15" s="329"/>
      <c r="W15"/>
      <c r="X15"/>
      <c r="Y15"/>
      <c r="Z15"/>
      <c r="AA15"/>
    </row>
    <row r="16" spans="1:30" ht="12.5">
      <c r="A16" s="215"/>
      <c r="B16" s="215"/>
      <c r="E16" s="297"/>
      <c r="F16" s="298"/>
      <c r="G16" s="298"/>
      <c r="H16" s="298"/>
      <c r="I16" s="298"/>
      <c r="K16" s="297"/>
      <c r="L16" s="298"/>
      <c r="M16" s="298"/>
      <c r="N16" s="298"/>
      <c r="O16" s="298"/>
      <c r="Q16" s="297"/>
      <c r="R16" s="298"/>
      <c r="S16" s="298"/>
      <c r="T16" s="298"/>
      <c r="U16" s="298"/>
      <c r="W16"/>
      <c r="X16"/>
      <c r="Y16"/>
      <c r="Z16"/>
      <c r="AA16"/>
    </row>
    <row r="17" spans="1:27" ht="12.5">
      <c r="A17" s="215"/>
      <c r="B17" s="215"/>
      <c r="E17" s="299">
        <f>$D$9+1</f>
        <v>2017</v>
      </c>
      <c r="F17" s="299">
        <f t="shared" ref="F17" si="0">E17+1</f>
        <v>2018</v>
      </c>
      <c r="G17" s="299">
        <f t="shared" ref="G17" si="1">F17+1</f>
        <v>2019</v>
      </c>
      <c r="H17" s="299">
        <f t="shared" ref="H17" si="2">G17+1</f>
        <v>2020</v>
      </c>
      <c r="I17" s="299">
        <f t="shared" ref="I17" si="3">H17+1</f>
        <v>2021</v>
      </c>
      <c r="K17" s="299">
        <f t="shared" ref="K17" si="4">E17</f>
        <v>2017</v>
      </c>
      <c r="L17" s="299">
        <f t="shared" ref="L17" si="5">F17</f>
        <v>2018</v>
      </c>
      <c r="M17" s="299">
        <f t="shared" ref="M17" si="6">G17</f>
        <v>2019</v>
      </c>
      <c r="N17" s="299">
        <f t="shared" ref="N17" si="7">H17</f>
        <v>2020</v>
      </c>
      <c r="O17" s="299">
        <f t="shared" ref="O17" si="8">I17</f>
        <v>2021</v>
      </c>
      <c r="Q17" s="299">
        <f t="shared" ref="Q17" si="9">E17</f>
        <v>2017</v>
      </c>
      <c r="R17" s="299">
        <f t="shared" ref="R17" si="10">F17</f>
        <v>2018</v>
      </c>
      <c r="S17" s="299">
        <f t="shared" ref="S17" si="11">G17</f>
        <v>2019</v>
      </c>
      <c r="T17" s="299">
        <f t="shared" ref="T17" si="12">H17</f>
        <v>2020</v>
      </c>
      <c r="U17" s="299">
        <f t="shared" ref="U17" si="13">I17</f>
        <v>2021</v>
      </c>
      <c r="W17"/>
      <c r="X17"/>
      <c r="Y17"/>
      <c r="Z17"/>
      <c r="AA17"/>
    </row>
    <row r="18" spans="1:27" ht="12.5">
      <c r="A18" s="105" t="s">
        <v>14</v>
      </c>
      <c r="B18" s="105"/>
      <c r="E18" s="300">
        <v>-0.01</v>
      </c>
      <c r="F18" s="300">
        <v>0</v>
      </c>
      <c r="G18" s="300">
        <v>5.0000000000000001E-3</v>
      </c>
      <c r="H18" s="300">
        <v>0.01</v>
      </c>
      <c r="I18" s="300">
        <v>1.4999999999999999E-2</v>
      </c>
      <c r="K18" s="300">
        <v>-0.03</v>
      </c>
      <c r="L18" s="300">
        <v>-0.02</v>
      </c>
      <c r="M18" s="300">
        <v>-0.01</v>
      </c>
      <c r="N18" s="300">
        <v>-0.01</v>
      </c>
      <c r="O18" s="300">
        <v>-0.01</v>
      </c>
      <c r="Q18" s="300">
        <v>-0.04</v>
      </c>
      <c r="R18" s="300">
        <v>-0.03</v>
      </c>
      <c r="S18" s="300">
        <v>-0.02</v>
      </c>
      <c r="T18" s="300">
        <v>-0.02</v>
      </c>
      <c r="U18" s="300">
        <v>-0.02</v>
      </c>
      <c r="W18"/>
      <c r="X18"/>
      <c r="Y18"/>
      <c r="Z18"/>
      <c r="AA18"/>
    </row>
    <row r="19" spans="1:27" ht="12.5">
      <c r="A19" s="105" t="s">
        <v>15</v>
      </c>
      <c r="B19" s="105"/>
      <c r="E19" s="301"/>
      <c r="F19" s="301"/>
      <c r="G19" s="301"/>
      <c r="H19" s="301"/>
      <c r="I19" s="301"/>
      <c r="K19" s="301"/>
      <c r="L19" s="301"/>
      <c r="M19" s="301"/>
      <c r="N19" s="301"/>
      <c r="O19" s="301"/>
      <c r="Q19" s="301"/>
      <c r="R19" s="301"/>
      <c r="S19" s="301"/>
      <c r="T19" s="301"/>
      <c r="U19" s="301"/>
      <c r="W19"/>
      <c r="X19"/>
      <c r="Y19"/>
      <c r="Z19"/>
      <c r="AA19"/>
    </row>
    <row r="20" spans="1:27" ht="12.5">
      <c r="A20" s="215" t="s">
        <v>16</v>
      </c>
      <c r="B20" s="215"/>
      <c r="E20" s="300">
        <v>0.38500000000000001</v>
      </c>
      <c r="F20" s="300">
        <v>0.38500000000000001</v>
      </c>
      <c r="G20" s="300">
        <v>0.38500000000000001</v>
      </c>
      <c r="H20" s="300">
        <v>0.38500000000000001</v>
      </c>
      <c r="I20" s="300">
        <v>0.38500000000000001</v>
      </c>
      <c r="K20" s="300">
        <v>0.39</v>
      </c>
      <c r="L20" s="300">
        <v>0.39</v>
      </c>
      <c r="M20" s="300">
        <v>0.39</v>
      </c>
      <c r="N20" s="300">
        <v>0.39</v>
      </c>
      <c r="O20" s="300">
        <v>0.39</v>
      </c>
      <c r="Q20" s="300">
        <v>0.39250000000000002</v>
      </c>
      <c r="R20" s="300">
        <v>0.39250000000000002</v>
      </c>
      <c r="S20" s="300">
        <v>0.39250000000000002</v>
      </c>
      <c r="T20" s="300">
        <v>0.39250000000000002</v>
      </c>
      <c r="U20" s="300">
        <v>0.39250000000000002</v>
      </c>
      <c r="W20"/>
      <c r="X20"/>
      <c r="Y20"/>
      <c r="Z20"/>
      <c r="AA20"/>
    </row>
    <row r="21" spans="1:27" ht="12.5">
      <c r="A21" s="138" t="s">
        <v>17</v>
      </c>
      <c r="B21" s="215"/>
      <c r="E21" s="300">
        <v>0.47499999999999998</v>
      </c>
      <c r="F21" s="300">
        <v>0.47499999999999998</v>
      </c>
      <c r="G21" s="300">
        <v>0.47499999999999998</v>
      </c>
      <c r="H21" s="300">
        <v>0.47499999999999998</v>
      </c>
      <c r="I21" s="300">
        <v>0.47499999999999998</v>
      </c>
      <c r="K21" s="300">
        <v>0.48</v>
      </c>
      <c r="L21" s="300">
        <v>0.48</v>
      </c>
      <c r="M21" s="300">
        <v>0.48</v>
      </c>
      <c r="N21" s="300">
        <v>0.48</v>
      </c>
      <c r="O21" s="300">
        <v>0.48</v>
      </c>
      <c r="Q21" s="300">
        <v>0.48249999999999998</v>
      </c>
      <c r="R21" s="300">
        <v>0.48249999999999998</v>
      </c>
      <c r="S21" s="300">
        <v>0.48249999999999998</v>
      </c>
      <c r="T21" s="300">
        <v>0.48249999999999998</v>
      </c>
      <c r="U21" s="300">
        <v>0.48249999999999998</v>
      </c>
      <c r="W21"/>
      <c r="X21"/>
      <c r="Y21"/>
      <c r="Z21"/>
      <c r="AA21"/>
    </row>
    <row r="22" spans="1:27" ht="12.5">
      <c r="A22" s="138" t="s">
        <v>18</v>
      </c>
      <c r="B22" s="105"/>
      <c r="E22" s="300">
        <v>0.06</v>
      </c>
      <c r="F22" s="300">
        <v>0.06</v>
      </c>
      <c r="G22" s="300">
        <v>0.06</v>
      </c>
      <c r="H22" s="300">
        <v>0.06</v>
      </c>
      <c r="I22" s="300">
        <v>0.06</v>
      </c>
      <c r="K22" s="300">
        <v>6.25E-2</v>
      </c>
      <c r="L22" s="300">
        <v>6.25E-2</v>
      </c>
      <c r="M22" s="300">
        <v>6.25E-2</v>
      </c>
      <c r="N22" s="300">
        <v>6.25E-2</v>
      </c>
      <c r="O22" s="300">
        <v>6.25E-2</v>
      </c>
      <c r="Q22" s="300">
        <v>6.5000000000000002E-2</v>
      </c>
      <c r="R22" s="300">
        <v>6.5000000000000002E-2</v>
      </c>
      <c r="S22" s="300">
        <v>6.5000000000000002E-2</v>
      </c>
      <c r="T22" s="300">
        <v>6.5000000000000002E-2</v>
      </c>
      <c r="U22" s="300">
        <v>6.5000000000000002E-2</v>
      </c>
      <c r="W22"/>
      <c r="X22"/>
      <c r="Y22"/>
      <c r="Z22"/>
      <c r="AA22"/>
    </row>
    <row r="23" spans="1:27" ht="12.5">
      <c r="A23" s="138" t="s">
        <v>19</v>
      </c>
      <c r="B23" s="215"/>
      <c r="E23" s="300">
        <v>-5.0000000000000001E-3</v>
      </c>
      <c r="F23" s="300">
        <v>-5.0000000000000001E-3</v>
      </c>
      <c r="G23" s="300">
        <v>-5.0000000000000001E-3</v>
      </c>
      <c r="H23" s="300">
        <v>-5.0000000000000001E-3</v>
      </c>
      <c r="I23" s="300">
        <v>-5.0000000000000001E-3</v>
      </c>
      <c r="K23" s="300">
        <v>-1E-3</v>
      </c>
      <c r="L23" s="300">
        <v>-1E-3</v>
      </c>
      <c r="M23" s="300">
        <v>-1E-3</v>
      </c>
      <c r="N23" s="300">
        <v>-1E-3</v>
      </c>
      <c r="O23" s="300">
        <v>-1E-3</v>
      </c>
      <c r="Q23" s="300">
        <v>1E-3</v>
      </c>
      <c r="R23" s="300">
        <v>1E-3</v>
      </c>
      <c r="S23" s="300">
        <v>1E-3</v>
      </c>
      <c r="T23" s="300">
        <v>1E-3</v>
      </c>
      <c r="U23" s="300">
        <v>1E-3</v>
      </c>
      <c r="W23"/>
      <c r="X23"/>
      <c r="Y23"/>
      <c r="Z23"/>
      <c r="AA23"/>
    </row>
    <row r="24" spans="1:27" ht="12.5">
      <c r="A24" s="105" t="s">
        <v>20</v>
      </c>
      <c r="B24" s="302"/>
      <c r="D24" s="303"/>
      <c r="E24" s="365" t="s">
        <v>21</v>
      </c>
      <c r="F24" s="366"/>
      <c r="G24" s="366"/>
      <c r="H24" s="366"/>
      <c r="I24" s="367"/>
      <c r="K24" s="365" t="s">
        <v>21</v>
      </c>
      <c r="L24" s="366"/>
      <c r="M24" s="366"/>
      <c r="N24" s="366"/>
      <c r="O24" s="367"/>
      <c r="Q24" s="365" t="s">
        <v>21</v>
      </c>
      <c r="R24" s="366"/>
      <c r="S24" s="366"/>
      <c r="T24" s="366"/>
      <c r="U24" s="367"/>
      <c r="W24"/>
      <c r="X24"/>
      <c r="Y24"/>
      <c r="Z24"/>
      <c r="AA24"/>
    </row>
    <row r="25" spans="1:27" ht="12.5">
      <c r="A25" s="105" t="s">
        <v>22</v>
      </c>
      <c r="B25" s="302"/>
      <c r="D25" s="303"/>
      <c r="E25" s="368"/>
      <c r="F25" s="369"/>
      <c r="G25" s="369"/>
      <c r="H25" s="369"/>
      <c r="I25" s="370"/>
      <c r="K25" s="368"/>
      <c r="L25" s="369"/>
      <c r="M25" s="369"/>
      <c r="N25" s="369"/>
      <c r="O25" s="370"/>
      <c r="Q25" s="368"/>
      <c r="R25" s="369"/>
      <c r="S25" s="369"/>
      <c r="T25" s="369"/>
      <c r="U25" s="370"/>
      <c r="W25"/>
      <c r="X25"/>
      <c r="Y25"/>
      <c r="Z25"/>
      <c r="AA25"/>
    </row>
    <row r="26" spans="1:27" ht="12.5">
      <c r="A26" s="102"/>
      <c r="B26" s="102"/>
      <c r="E26" s="300"/>
      <c r="F26" s="300"/>
      <c r="G26" s="300"/>
      <c r="H26" s="300"/>
      <c r="I26" s="300"/>
      <c r="K26" s="300"/>
      <c r="L26" s="300"/>
      <c r="M26" s="300"/>
      <c r="N26" s="300"/>
      <c r="O26" s="300"/>
      <c r="Q26" s="300"/>
      <c r="R26" s="300"/>
      <c r="S26" s="300"/>
      <c r="T26" s="300"/>
      <c r="U26" s="300"/>
      <c r="W26"/>
      <c r="X26"/>
      <c r="Y26"/>
      <c r="Z26"/>
      <c r="AA26"/>
    </row>
    <row r="27" spans="1:27" ht="12.5">
      <c r="A27" s="102" t="s">
        <v>23</v>
      </c>
      <c r="B27" s="304"/>
      <c r="E27" s="300">
        <v>0.21</v>
      </c>
      <c r="F27" s="300">
        <v>0.21</v>
      </c>
      <c r="G27" s="300">
        <v>0.21</v>
      </c>
      <c r="H27" s="300">
        <v>0.21</v>
      </c>
      <c r="I27" s="300">
        <v>0.21</v>
      </c>
      <c r="K27" s="300">
        <v>0.21</v>
      </c>
      <c r="L27" s="300">
        <v>0.21</v>
      </c>
      <c r="M27" s="300">
        <v>0.21</v>
      </c>
      <c r="N27" s="300">
        <v>0.21</v>
      </c>
      <c r="O27" s="300">
        <v>0.21</v>
      </c>
      <c r="Q27" s="300">
        <v>0.21</v>
      </c>
      <c r="R27" s="300">
        <v>0.21</v>
      </c>
      <c r="S27" s="300">
        <v>0.21</v>
      </c>
      <c r="T27" s="300">
        <v>0.21</v>
      </c>
      <c r="U27" s="300">
        <v>0.21</v>
      </c>
      <c r="W27"/>
      <c r="X27"/>
      <c r="Y27"/>
      <c r="Z27"/>
      <c r="AA27"/>
    </row>
    <row r="28" spans="1:27" ht="12.5">
      <c r="A28" s="102" t="s">
        <v>24</v>
      </c>
      <c r="B28" s="304"/>
      <c r="E28" s="300">
        <v>0.08</v>
      </c>
      <c r="F28" s="300">
        <v>0.08</v>
      </c>
      <c r="G28" s="300">
        <v>0.08</v>
      </c>
      <c r="H28" s="300">
        <v>0.08</v>
      </c>
      <c r="I28" s="300">
        <v>0.08</v>
      </c>
      <c r="K28" s="300">
        <v>0.08</v>
      </c>
      <c r="L28" s="300">
        <v>0.08</v>
      </c>
      <c r="M28" s="300">
        <v>0.08</v>
      </c>
      <c r="N28" s="300">
        <v>0.08</v>
      </c>
      <c r="O28" s="300">
        <v>0.08</v>
      </c>
      <c r="Q28" s="300">
        <v>0.08</v>
      </c>
      <c r="R28" s="300">
        <v>0.08</v>
      </c>
      <c r="S28" s="300">
        <v>0.08</v>
      </c>
      <c r="T28" s="300">
        <v>0.08</v>
      </c>
      <c r="U28" s="300">
        <v>0.08</v>
      </c>
      <c r="W28"/>
      <c r="X28"/>
      <c r="Y28"/>
      <c r="Z28"/>
      <c r="AA28"/>
    </row>
    <row r="29" spans="1:27" s="287" customFormat="1" ht="12.5">
      <c r="A29" s="102" t="s">
        <v>25</v>
      </c>
      <c r="B29" s="206"/>
      <c r="C29" s="305"/>
      <c r="D29" s="305"/>
      <c r="E29" s="306">
        <v>68100</v>
      </c>
      <c r="F29" s="306">
        <v>68100</v>
      </c>
      <c r="G29" s="306">
        <v>68100</v>
      </c>
      <c r="H29" s="306">
        <v>68100</v>
      </c>
      <c r="I29" s="306">
        <v>68100</v>
      </c>
      <c r="J29" s="305"/>
      <c r="K29" s="306">
        <v>68100</v>
      </c>
      <c r="L29" s="306">
        <v>68100</v>
      </c>
      <c r="M29" s="306">
        <v>68100</v>
      </c>
      <c r="N29" s="306">
        <v>68100</v>
      </c>
      <c r="O29" s="306">
        <v>68100</v>
      </c>
      <c r="P29" s="305"/>
      <c r="Q29" s="306">
        <v>68100</v>
      </c>
      <c r="R29" s="306">
        <v>68100</v>
      </c>
      <c r="S29" s="306">
        <v>68100</v>
      </c>
      <c r="T29" s="306">
        <v>68100</v>
      </c>
      <c r="U29" s="306">
        <v>68100</v>
      </c>
      <c r="V29" s="305"/>
      <c r="W29"/>
      <c r="X29"/>
      <c r="Y29"/>
      <c r="Z29"/>
      <c r="AA29"/>
    </row>
    <row r="30" spans="1:27" ht="12.5">
      <c r="A30" s="102"/>
      <c r="B30" s="102"/>
      <c r="W30"/>
      <c r="X30"/>
      <c r="Y30"/>
      <c r="Z30"/>
      <c r="AA30"/>
    </row>
    <row r="31" spans="1:27" ht="15.5">
      <c r="A31" s="296" t="s">
        <v>26</v>
      </c>
      <c r="B31" s="307"/>
      <c r="C31"/>
      <c r="D31"/>
      <c r="E31"/>
      <c r="F31"/>
      <c r="G31"/>
      <c r="H31"/>
      <c r="I31"/>
      <c r="J31" s="34"/>
      <c r="K31" s="296"/>
      <c r="L31" s="296"/>
      <c r="M31" s="296"/>
      <c r="N31" s="32"/>
      <c r="O31" s="32"/>
      <c r="P31" s="329"/>
      <c r="Q31" s="141"/>
      <c r="R31" s="141"/>
      <c r="S31" s="141"/>
      <c r="T31" s="292"/>
      <c r="U31" s="292"/>
      <c r="V31" s="329"/>
      <c r="W31"/>
      <c r="X31"/>
      <c r="Y31"/>
      <c r="Z31"/>
      <c r="AA31"/>
    </row>
    <row r="32" spans="1:27" ht="12.5">
      <c r="A32" s="105"/>
      <c r="B32" s="105"/>
      <c r="W32"/>
      <c r="X32"/>
      <c r="Y32"/>
      <c r="Z32"/>
      <c r="AA32"/>
    </row>
    <row r="33" spans="1:27" ht="12.5">
      <c r="A33" s="215"/>
      <c r="B33" s="215"/>
      <c r="E33" s="299">
        <f>E17</f>
        <v>2017</v>
      </c>
      <c r="F33" s="299">
        <f>F17</f>
        <v>2018</v>
      </c>
      <c r="G33" s="299">
        <f>G17</f>
        <v>2019</v>
      </c>
      <c r="H33" s="299">
        <f>H17</f>
        <v>2020</v>
      </c>
      <c r="I33" s="299">
        <f>I17</f>
        <v>2021</v>
      </c>
      <c r="K33" s="299">
        <f>K17</f>
        <v>2017</v>
      </c>
      <c r="L33" s="299">
        <f>L17</f>
        <v>2018</v>
      </c>
      <c r="M33" s="299">
        <f>M17</f>
        <v>2019</v>
      </c>
      <c r="N33" s="299">
        <f>N17</f>
        <v>2020</v>
      </c>
      <c r="O33" s="299">
        <f>O17</f>
        <v>2021</v>
      </c>
      <c r="Q33" s="299">
        <f>Q17</f>
        <v>2017</v>
      </c>
      <c r="R33" s="299">
        <f>R17</f>
        <v>2018</v>
      </c>
      <c r="S33" s="299">
        <f>S17</f>
        <v>2019</v>
      </c>
      <c r="T33" s="299">
        <f>T17</f>
        <v>2020</v>
      </c>
      <c r="U33" s="299">
        <f>U17</f>
        <v>2021</v>
      </c>
      <c r="W33"/>
      <c r="X33"/>
      <c r="Y33"/>
      <c r="Z33"/>
      <c r="AA33"/>
    </row>
    <row r="34" spans="1:27" ht="13">
      <c r="A34" s="308" t="s">
        <v>27</v>
      </c>
      <c r="B34" s="308"/>
      <c r="E34" s="34"/>
      <c r="F34" s="34"/>
      <c r="G34" s="34"/>
      <c r="H34" s="34"/>
      <c r="I34" s="34"/>
      <c r="K34" s="34"/>
      <c r="L34" s="34"/>
      <c r="M34" s="34"/>
      <c r="N34" s="34"/>
      <c r="O34" s="34"/>
      <c r="Q34" s="34"/>
      <c r="R34" s="34"/>
      <c r="S34" s="34"/>
      <c r="T34" s="34"/>
      <c r="U34" s="34"/>
      <c r="W34"/>
      <c r="X34"/>
      <c r="Y34"/>
      <c r="Z34"/>
      <c r="AA34"/>
    </row>
    <row r="35" spans="1:27" ht="12.5">
      <c r="A35" s="214" t="s">
        <v>28</v>
      </c>
      <c r="B35" s="214"/>
      <c r="E35" s="34"/>
      <c r="F35" s="34"/>
      <c r="G35" s="34"/>
      <c r="H35" s="34"/>
      <c r="K35" s="34"/>
      <c r="L35" s="34"/>
      <c r="M35" s="34"/>
      <c r="N35" s="34"/>
      <c r="Q35" s="34"/>
      <c r="R35" s="34"/>
      <c r="S35" s="34"/>
      <c r="T35" s="34"/>
      <c r="W35"/>
      <c r="X35"/>
      <c r="Y35"/>
      <c r="Z35"/>
      <c r="AA35"/>
    </row>
    <row r="36" spans="1:27" ht="12.5">
      <c r="A36" s="215" t="s">
        <v>29</v>
      </c>
      <c r="B36" s="309"/>
      <c r="E36" s="362" t="s">
        <v>30</v>
      </c>
      <c r="F36" s="363"/>
      <c r="G36" s="363"/>
      <c r="H36" s="363"/>
      <c r="I36" s="364"/>
      <c r="K36" s="362" t="s">
        <v>30</v>
      </c>
      <c r="L36" s="363"/>
      <c r="M36" s="363"/>
      <c r="N36" s="363"/>
      <c r="O36" s="364"/>
      <c r="Q36" s="362" t="s">
        <v>30</v>
      </c>
      <c r="R36" s="363"/>
      <c r="S36" s="363"/>
      <c r="T36" s="363"/>
      <c r="U36" s="364"/>
      <c r="W36"/>
      <c r="X36"/>
      <c r="Y36"/>
      <c r="Z36"/>
      <c r="AA36"/>
    </row>
    <row r="37" spans="1:27" ht="12.5">
      <c r="A37" s="215" t="s">
        <v>31</v>
      </c>
      <c r="B37" s="309"/>
      <c r="E37" s="384" t="s">
        <v>32</v>
      </c>
      <c r="F37" s="385"/>
      <c r="G37" s="385"/>
      <c r="H37" s="385"/>
      <c r="I37" s="386"/>
      <c r="K37" s="393" t="s">
        <v>32</v>
      </c>
      <c r="L37" s="394"/>
      <c r="M37" s="394"/>
      <c r="N37" s="394"/>
      <c r="O37" s="395"/>
      <c r="Q37" s="384" t="s">
        <v>32</v>
      </c>
      <c r="R37" s="385"/>
      <c r="S37" s="385"/>
      <c r="T37" s="385"/>
      <c r="U37" s="386"/>
      <c r="W37"/>
      <c r="X37"/>
      <c r="Y37"/>
      <c r="Z37"/>
      <c r="AA37"/>
    </row>
    <row r="38" spans="1:27" ht="12.5">
      <c r="A38" s="215" t="s">
        <v>33</v>
      </c>
      <c r="B38" s="309"/>
      <c r="E38" s="387"/>
      <c r="F38" s="388"/>
      <c r="G38" s="388"/>
      <c r="H38" s="388"/>
      <c r="I38" s="389"/>
      <c r="K38" s="396"/>
      <c r="L38" s="397"/>
      <c r="M38" s="397"/>
      <c r="N38" s="397"/>
      <c r="O38" s="398"/>
      <c r="Q38" s="387"/>
      <c r="R38" s="388"/>
      <c r="S38" s="388"/>
      <c r="T38" s="388"/>
      <c r="U38" s="389"/>
      <c r="W38"/>
      <c r="X38"/>
      <c r="Y38"/>
      <c r="Z38"/>
      <c r="AA38"/>
    </row>
    <row r="39" spans="1:27" ht="12.5">
      <c r="A39" s="215" t="s">
        <v>34</v>
      </c>
      <c r="B39" s="309"/>
      <c r="E39" s="390"/>
      <c r="F39" s="391"/>
      <c r="G39" s="391"/>
      <c r="H39" s="391"/>
      <c r="I39" s="392"/>
      <c r="K39" s="399"/>
      <c r="L39" s="400"/>
      <c r="M39" s="400"/>
      <c r="N39" s="400"/>
      <c r="O39" s="401"/>
      <c r="Q39" s="390"/>
      <c r="R39" s="391"/>
      <c r="S39" s="391"/>
      <c r="T39" s="391"/>
      <c r="U39" s="392"/>
      <c r="W39"/>
      <c r="X39"/>
      <c r="Y39"/>
      <c r="Z39"/>
      <c r="AA39"/>
    </row>
    <row r="40" spans="1:27" ht="12.5">
      <c r="A40" s="220"/>
      <c r="B40" s="220"/>
      <c r="E40" s="310"/>
      <c r="F40" s="310"/>
      <c r="G40" s="310"/>
      <c r="H40" s="310"/>
      <c r="I40" s="310"/>
      <c r="K40" s="310"/>
      <c r="L40" s="310"/>
      <c r="M40" s="310"/>
      <c r="N40" s="310"/>
      <c r="O40" s="310"/>
      <c r="Q40" s="310"/>
      <c r="R40" s="310"/>
      <c r="S40" s="310"/>
      <c r="T40" s="310"/>
      <c r="U40" s="310"/>
      <c r="W40"/>
      <c r="X40"/>
      <c r="Y40"/>
      <c r="Z40"/>
      <c r="AA40"/>
    </row>
    <row r="41" spans="1:27" ht="12.5">
      <c r="A41" s="220" t="s">
        <v>35</v>
      </c>
      <c r="B41" s="220"/>
      <c r="E41" s="310"/>
      <c r="F41" s="310"/>
      <c r="G41" s="310"/>
      <c r="H41" s="310"/>
      <c r="I41" s="310"/>
      <c r="K41" s="310"/>
      <c r="L41" s="310"/>
      <c r="M41" s="310"/>
      <c r="N41" s="310"/>
      <c r="O41" s="310"/>
      <c r="Q41" s="310"/>
      <c r="R41" s="310"/>
      <c r="S41" s="310"/>
      <c r="T41" s="310"/>
      <c r="U41" s="310"/>
      <c r="W41"/>
      <c r="X41"/>
      <c r="Y41"/>
      <c r="Z41"/>
      <c r="AA41"/>
    </row>
    <row r="42" spans="1:27" ht="12.5">
      <c r="A42" s="215" t="s">
        <v>36</v>
      </c>
      <c r="B42" s="215"/>
      <c r="E42" s="362" t="s">
        <v>37</v>
      </c>
      <c r="F42" s="363"/>
      <c r="G42" s="363"/>
      <c r="H42" s="363"/>
      <c r="I42" s="364"/>
      <c r="K42" s="362" t="s">
        <v>37</v>
      </c>
      <c r="L42" s="363"/>
      <c r="M42" s="363"/>
      <c r="N42" s="363"/>
      <c r="O42" s="364"/>
      <c r="Q42" s="362" t="s">
        <v>37</v>
      </c>
      <c r="R42" s="363"/>
      <c r="S42" s="363"/>
      <c r="T42" s="363"/>
      <c r="U42" s="364"/>
      <c r="W42"/>
      <c r="X42"/>
      <c r="Y42"/>
      <c r="Z42"/>
      <c r="AA42"/>
    </row>
    <row r="43" spans="1:27" ht="12.5">
      <c r="A43" s="215" t="s">
        <v>38</v>
      </c>
      <c r="B43" s="215"/>
      <c r="E43" s="311">
        <v>207774</v>
      </c>
      <c r="F43" s="311">
        <v>227554</v>
      </c>
      <c r="G43" s="311">
        <v>233282</v>
      </c>
      <c r="H43" s="311">
        <v>222870</v>
      </c>
      <c r="I43" s="311">
        <v>227902</v>
      </c>
      <c r="J43" s="288"/>
      <c r="K43" s="311">
        <v>207774</v>
      </c>
      <c r="L43" s="311">
        <v>227554</v>
      </c>
      <c r="M43" s="311">
        <v>233282</v>
      </c>
      <c r="N43" s="311">
        <v>222870</v>
      </c>
      <c r="O43" s="311">
        <v>227902</v>
      </c>
      <c r="P43" s="288"/>
      <c r="Q43" s="311">
        <v>207774</v>
      </c>
      <c r="R43" s="311">
        <v>227554</v>
      </c>
      <c r="S43" s="311">
        <v>233282</v>
      </c>
      <c r="T43" s="311">
        <v>222870</v>
      </c>
      <c r="U43" s="311">
        <v>227902</v>
      </c>
      <c r="W43"/>
      <c r="X43"/>
      <c r="Y43"/>
      <c r="Z43"/>
      <c r="AA43"/>
    </row>
    <row r="44" spans="1:27" ht="12.5">
      <c r="A44" s="220"/>
      <c r="B44" s="220"/>
      <c r="E44" s="310"/>
      <c r="F44" s="310"/>
      <c r="G44" s="310"/>
      <c r="H44" s="310"/>
      <c r="I44" s="310"/>
      <c r="K44" s="310"/>
      <c r="L44" s="310"/>
      <c r="M44" s="310"/>
      <c r="N44" s="310"/>
      <c r="O44" s="310"/>
      <c r="Q44" s="310"/>
      <c r="R44" s="310"/>
      <c r="S44" s="310"/>
      <c r="T44" s="310"/>
      <c r="U44" s="310"/>
      <c r="W44"/>
      <c r="X44"/>
      <c r="Y44"/>
      <c r="Z44"/>
      <c r="AA44"/>
    </row>
    <row r="45" spans="1:27" ht="13">
      <c r="A45" s="211" t="s">
        <v>39</v>
      </c>
      <c r="B45" s="211"/>
      <c r="E45" s="310"/>
      <c r="F45" s="310"/>
      <c r="G45" s="310"/>
      <c r="H45" s="310"/>
      <c r="I45" s="310"/>
      <c r="K45" s="310"/>
      <c r="L45" s="310"/>
      <c r="M45" s="310"/>
      <c r="N45" s="310"/>
      <c r="O45" s="310"/>
      <c r="Q45" s="310"/>
      <c r="R45" s="310"/>
      <c r="S45" s="310"/>
      <c r="T45" s="310"/>
      <c r="U45" s="310"/>
      <c r="W45"/>
      <c r="X45"/>
      <c r="Y45"/>
      <c r="Z45"/>
      <c r="AA45"/>
    </row>
    <row r="46" spans="1:27" ht="12.5">
      <c r="A46" s="105" t="s">
        <v>40</v>
      </c>
      <c r="B46" s="105"/>
      <c r="E46" s="310"/>
      <c r="F46" s="310"/>
      <c r="G46" s="310"/>
      <c r="H46" s="310"/>
      <c r="I46" s="310"/>
      <c r="K46" s="310"/>
      <c r="L46" s="310"/>
      <c r="M46" s="310"/>
      <c r="N46" s="310"/>
      <c r="O46" s="310"/>
      <c r="Q46" s="310"/>
      <c r="R46" s="310"/>
      <c r="S46" s="310"/>
      <c r="T46" s="310"/>
      <c r="U46" s="310"/>
      <c r="W46"/>
      <c r="X46"/>
      <c r="Y46"/>
      <c r="Z46"/>
      <c r="AA46"/>
    </row>
    <row r="47" spans="1:27" ht="12.5">
      <c r="A47" s="215" t="s">
        <v>41</v>
      </c>
      <c r="B47" s="215"/>
      <c r="E47" s="384" t="s">
        <v>42</v>
      </c>
      <c r="F47" s="385"/>
      <c r="G47" s="385"/>
      <c r="H47" s="385"/>
      <c r="I47" s="386"/>
      <c r="K47" s="384" t="s">
        <v>42</v>
      </c>
      <c r="L47" s="385"/>
      <c r="M47" s="385"/>
      <c r="N47" s="385"/>
      <c r="O47" s="386"/>
      <c r="Q47" s="384" t="s">
        <v>42</v>
      </c>
      <c r="R47" s="385"/>
      <c r="S47" s="385"/>
      <c r="T47" s="385"/>
      <c r="U47" s="386"/>
      <c r="W47"/>
      <c r="X47"/>
      <c r="Y47"/>
      <c r="Z47"/>
      <c r="AA47"/>
    </row>
    <row r="48" spans="1:27" ht="12.5">
      <c r="A48" s="215" t="s">
        <v>43</v>
      </c>
      <c r="B48" s="215"/>
      <c r="E48" s="387"/>
      <c r="F48" s="388"/>
      <c r="G48" s="388"/>
      <c r="H48" s="388"/>
      <c r="I48" s="389"/>
      <c r="K48" s="387"/>
      <c r="L48" s="388"/>
      <c r="M48" s="388"/>
      <c r="N48" s="388"/>
      <c r="O48" s="389"/>
      <c r="Q48" s="387"/>
      <c r="R48" s="388"/>
      <c r="S48" s="388"/>
      <c r="T48" s="388"/>
      <c r="U48" s="389"/>
      <c r="W48"/>
      <c r="X48"/>
      <c r="Y48"/>
      <c r="Z48"/>
      <c r="AA48"/>
    </row>
    <row r="49" spans="1:27" ht="12.5">
      <c r="A49" s="215" t="s">
        <v>44</v>
      </c>
      <c r="B49" s="215"/>
      <c r="E49" s="387"/>
      <c r="F49" s="388"/>
      <c r="G49" s="388"/>
      <c r="H49" s="388"/>
      <c r="I49" s="389"/>
      <c r="K49" s="387"/>
      <c r="L49" s="388"/>
      <c r="M49" s="388"/>
      <c r="N49" s="388"/>
      <c r="O49" s="389"/>
      <c r="Q49" s="387"/>
      <c r="R49" s="388"/>
      <c r="S49" s="388"/>
      <c r="T49" s="388"/>
      <c r="U49" s="389"/>
      <c r="W49"/>
      <c r="X49"/>
      <c r="Y49"/>
      <c r="Z49"/>
      <c r="AA49"/>
    </row>
    <row r="50" spans="1:27" ht="12.5">
      <c r="A50" s="215" t="s">
        <v>45</v>
      </c>
      <c r="B50" s="215"/>
      <c r="E50" s="390"/>
      <c r="F50" s="391"/>
      <c r="G50" s="391"/>
      <c r="H50" s="391"/>
      <c r="I50" s="392"/>
      <c r="K50" s="390"/>
      <c r="L50" s="391"/>
      <c r="M50" s="391"/>
      <c r="N50" s="391"/>
      <c r="O50" s="392"/>
      <c r="Q50" s="390"/>
      <c r="R50" s="391"/>
      <c r="S50" s="391"/>
      <c r="T50" s="391"/>
      <c r="U50" s="392"/>
      <c r="W50"/>
      <c r="X50"/>
      <c r="Y50"/>
      <c r="Z50"/>
      <c r="AA50"/>
    </row>
    <row r="51" spans="1:27" s="288" customFormat="1" ht="12.5">
      <c r="A51" s="215" t="s">
        <v>46</v>
      </c>
      <c r="B51" s="312"/>
      <c r="E51" s="313">
        <v>0</v>
      </c>
      <c r="F51" s="313">
        <v>68566</v>
      </c>
      <c r="G51" s="313">
        <v>0</v>
      </c>
      <c r="H51" s="313">
        <v>50000</v>
      </c>
      <c r="I51" s="313">
        <v>0</v>
      </c>
      <c r="K51" s="313">
        <v>0</v>
      </c>
      <c r="L51" s="313">
        <v>68566</v>
      </c>
      <c r="M51" s="313">
        <v>0</v>
      </c>
      <c r="N51" s="313">
        <v>50000</v>
      </c>
      <c r="O51" s="313">
        <v>0</v>
      </c>
      <c r="Q51" s="313">
        <v>0</v>
      </c>
      <c r="R51" s="313">
        <v>68566</v>
      </c>
      <c r="S51" s="313">
        <v>0</v>
      </c>
      <c r="T51" s="313">
        <v>50000</v>
      </c>
      <c r="U51" s="313">
        <v>0</v>
      </c>
      <c r="W51"/>
      <c r="X51"/>
      <c r="Y51"/>
      <c r="Z51"/>
      <c r="AA51"/>
    </row>
    <row r="52" spans="1:27" ht="12.5">
      <c r="A52" s="105"/>
      <c r="B52" s="105"/>
      <c r="E52" s="310"/>
      <c r="F52" s="310"/>
      <c r="G52" s="310"/>
      <c r="H52" s="310"/>
      <c r="I52" s="310"/>
      <c r="K52" s="310"/>
      <c r="L52" s="310"/>
      <c r="M52" s="310"/>
      <c r="N52" s="310"/>
      <c r="O52" s="310"/>
      <c r="Q52" s="310"/>
      <c r="R52" s="310"/>
      <c r="S52" s="310"/>
      <c r="T52" s="310"/>
      <c r="U52" s="310"/>
      <c r="W52"/>
      <c r="X52"/>
      <c r="Y52"/>
      <c r="Z52"/>
      <c r="AA52"/>
    </row>
    <row r="53" spans="1:27" ht="12.5">
      <c r="A53" s="220" t="s">
        <v>47</v>
      </c>
      <c r="B53" s="220"/>
      <c r="E53" s="310"/>
      <c r="F53" s="310"/>
      <c r="G53" s="310"/>
      <c r="H53" s="310"/>
      <c r="I53" s="310"/>
      <c r="K53" s="310"/>
      <c r="L53" s="310"/>
      <c r="M53" s="310"/>
      <c r="N53" s="310"/>
      <c r="O53" s="310"/>
      <c r="Q53" s="310"/>
      <c r="R53" s="310"/>
      <c r="S53" s="310"/>
      <c r="T53" s="310"/>
      <c r="U53" s="310"/>
      <c r="W53"/>
      <c r="X53"/>
      <c r="Y53"/>
      <c r="Z53"/>
      <c r="AA53"/>
    </row>
    <row r="54" spans="1:27" ht="12.5">
      <c r="A54" s="215" t="s">
        <v>48</v>
      </c>
      <c r="B54" s="220"/>
      <c r="E54" s="314">
        <v>150000</v>
      </c>
      <c r="F54" s="314">
        <v>0</v>
      </c>
      <c r="G54" s="314">
        <v>0</v>
      </c>
      <c r="H54" s="314">
        <v>0</v>
      </c>
      <c r="I54" s="314">
        <v>0</v>
      </c>
      <c r="J54" s="330"/>
      <c r="K54" s="314">
        <v>150000</v>
      </c>
      <c r="L54" s="314">
        <v>0</v>
      </c>
      <c r="M54" s="314">
        <v>0</v>
      </c>
      <c r="N54" s="314">
        <v>0</v>
      </c>
      <c r="O54" s="314">
        <v>0</v>
      </c>
      <c r="P54" s="330"/>
      <c r="Q54" s="314">
        <v>150000</v>
      </c>
      <c r="R54" s="314">
        <v>0</v>
      </c>
      <c r="S54" s="314">
        <v>0</v>
      </c>
      <c r="T54" s="314">
        <v>0</v>
      </c>
      <c r="U54" s="314">
        <v>0</v>
      </c>
      <c r="V54" s="330"/>
      <c r="W54"/>
      <c r="X54"/>
      <c r="Y54"/>
      <c r="Z54"/>
      <c r="AA54"/>
    </row>
    <row r="55" spans="1:27" ht="12.5">
      <c r="A55" s="215" t="s">
        <v>49</v>
      </c>
      <c r="B55" s="215"/>
      <c r="E55" s="315">
        <v>2.5000000000000001E-2</v>
      </c>
      <c r="F55" s="316">
        <v>2.5000000000000001E-2</v>
      </c>
      <c r="G55" s="316">
        <v>2.5000000000000001E-2</v>
      </c>
      <c r="H55" s="316">
        <v>2.5000000000000001E-2</v>
      </c>
      <c r="I55" s="316">
        <v>2.5000000000000001E-2</v>
      </c>
      <c r="K55" s="315">
        <v>2.5000000000000001E-2</v>
      </c>
      <c r="L55" s="316">
        <v>2.5000000000000001E-2</v>
      </c>
      <c r="M55" s="316">
        <v>2.5000000000000001E-2</v>
      </c>
      <c r="N55" s="316">
        <v>2.5000000000000001E-2</v>
      </c>
      <c r="O55" s="316">
        <v>2.5000000000000001E-2</v>
      </c>
      <c r="Q55" s="315">
        <v>2.5000000000000001E-2</v>
      </c>
      <c r="R55" s="316">
        <v>2.5000000000000001E-2</v>
      </c>
      <c r="S55" s="316">
        <v>2.5000000000000001E-2</v>
      </c>
      <c r="T55" s="316">
        <v>2.5000000000000001E-2</v>
      </c>
      <c r="U55" s="316">
        <v>2.5000000000000001E-2</v>
      </c>
      <c r="W55"/>
      <c r="X55"/>
      <c r="Y55"/>
      <c r="Z55"/>
      <c r="AA55"/>
    </row>
    <row r="56" spans="1:27" ht="12.5">
      <c r="A56" s="215" t="s">
        <v>50</v>
      </c>
      <c r="B56" s="215"/>
      <c r="E56" s="306">
        <v>203567</v>
      </c>
      <c r="F56" s="317">
        <v>203567</v>
      </c>
      <c r="G56" s="317">
        <v>203567</v>
      </c>
      <c r="H56" s="317">
        <v>203567</v>
      </c>
      <c r="I56" s="317">
        <v>203567</v>
      </c>
      <c r="K56" s="306">
        <v>203567</v>
      </c>
      <c r="L56" s="317">
        <v>203567</v>
      </c>
      <c r="M56" s="317">
        <v>203567</v>
      </c>
      <c r="N56" s="317">
        <v>203567</v>
      </c>
      <c r="O56" s="317">
        <v>203567</v>
      </c>
      <c r="Q56" s="306">
        <v>203567</v>
      </c>
      <c r="R56" s="317">
        <v>203567</v>
      </c>
      <c r="S56" s="317">
        <v>203567</v>
      </c>
      <c r="T56" s="317">
        <v>203567</v>
      </c>
      <c r="U56" s="317">
        <v>203567</v>
      </c>
      <c r="W56"/>
      <c r="X56"/>
      <c r="Y56"/>
      <c r="Z56"/>
      <c r="AA56"/>
    </row>
    <row r="57" spans="1:27" ht="12.5">
      <c r="A57" s="220"/>
      <c r="B57" s="220"/>
      <c r="E57" s="318"/>
      <c r="F57" s="319"/>
      <c r="G57" s="319"/>
      <c r="H57" s="319"/>
      <c r="I57" s="319"/>
      <c r="K57" s="318"/>
      <c r="L57" s="319"/>
      <c r="M57" s="319"/>
      <c r="N57" s="319"/>
      <c r="O57" s="319"/>
      <c r="Q57" s="318"/>
      <c r="R57" s="319"/>
      <c r="S57" s="319"/>
      <c r="T57" s="319"/>
      <c r="U57" s="319"/>
      <c r="W57"/>
      <c r="X57"/>
      <c r="Y57"/>
      <c r="Z57"/>
      <c r="AA57"/>
    </row>
    <row r="58" spans="1:27" ht="13">
      <c r="A58" s="320" t="s">
        <v>51</v>
      </c>
      <c r="B58" s="320"/>
      <c r="E58" s="318"/>
      <c r="F58" s="319"/>
      <c r="G58" s="319"/>
      <c r="H58" s="319"/>
      <c r="I58" s="319"/>
      <c r="K58" s="318"/>
      <c r="L58" s="319"/>
      <c r="M58" s="319"/>
      <c r="N58" s="319"/>
      <c r="O58" s="319"/>
      <c r="Q58" s="318"/>
      <c r="R58" s="319"/>
      <c r="S58" s="319"/>
      <c r="T58" s="319"/>
      <c r="U58" s="319"/>
      <c r="W58"/>
      <c r="X58"/>
      <c r="Y58"/>
      <c r="Z58"/>
      <c r="AA58"/>
    </row>
    <row r="59" spans="1:27" ht="12.5">
      <c r="A59" s="105" t="s">
        <v>52</v>
      </c>
      <c r="B59" s="105"/>
      <c r="E59" s="315">
        <v>0.15</v>
      </c>
      <c r="F59" s="321">
        <v>0.15</v>
      </c>
      <c r="G59" s="321">
        <v>0.15</v>
      </c>
      <c r="H59" s="321">
        <v>0.15</v>
      </c>
      <c r="I59" s="321">
        <v>0.15</v>
      </c>
      <c r="K59" s="315">
        <v>0.15</v>
      </c>
      <c r="L59" s="321">
        <v>0.15</v>
      </c>
      <c r="M59" s="321">
        <v>0.15</v>
      </c>
      <c r="N59" s="321">
        <v>0.15</v>
      </c>
      <c r="O59" s="321">
        <v>0.15</v>
      </c>
      <c r="Q59" s="315">
        <v>0.15</v>
      </c>
      <c r="R59" s="321">
        <v>0.15</v>
      </c>
      <c r="S59" s="321">
        <v>0.15</v>
      </c>
      <c r="T59" s="321">
        <v>0.15</v>
      </c>
      <c r="U59" s="321">
        <v>0.15</v>
      </c>
      <c r="W59"/>
      <c r="X59"/>
      <c r="Y59"/>
      <c r="Z59"/>
      <c r="AA59"/>
    </row>
    <row r="60" spans="1:27" ht="12.5">
      <c r="A60" s="105" t="s">
        <v>53</v>
      </c>
      <c r="B60" s="105"/>
      <c r="E60" s="322">
        <v>0</v>
      </c>
      <c r="F60" s="322">
        <v>0</v>
      </c>
      <c r="G60" s="322">
        <v>0</v>
      </c>
      <c r="H60" s="322">
        <v>0</v>
      </c>
      <c r="I60" s="322">
        <v>0</v>
      </c>
      <c r="K60" s="322">
        <v>0</v>
      </c>
      <c r="L60" s="322">
        <v>0</v>
      </c>
      <c r="M60" s="322">
        <v>0</v>
      </c>
      <c r="N60" s="322">
        <v>0</v>
      </c>
      <c r="O60" s="322">
        <v>0</v>
      </c>
      <c r="Q60" s="322">
        <v>0</v>
      </c>
      <c r="R60" s="322">
        <v>0</v>
      </c>
      <c r="S60" s="322">
        <v>0</v>
      </c>
      <c r="T60" s="322">
        <v>0</v>
      </c>
      <c r="U60" s="322">
        <v>0</v>
      </c>
      <c r="W60"/>
      <c r="X60"/>
      <c r="Y60"/>
      <c r="Z60"/>
      <c r="AA60"/>
    </row>
    <row r="61" spans="1:27" ht="12.5">
      <c r="A61" s="105" t="s">
        <v>54</v>
      </c>
      <c r="B61" s="215"/>
      <c r="C61" s="323"/>
      <c r="D61" s="323"/>
      <c r="E61" s="324">
        <v>0.01</v>
      </c>
      <c r="F61" s="324">
        <v>0.01</v>
      </c>
      <c r="G61" s="324">
        <v>0.01</v>
      </c>
      <c r="H61" s="324">
        <v>0.01</v>
      </c>
      <c r="I61" s="324">
        <v>0.01</v>
      </c>
      <c r="K61" s="324">
        <v>0.01</v>
      </c>
      <c r="L61" s="324">
        <v>0.01</v>
      </c>
      <c r="M61" s="324">
        <v>0.01</v>
      </c>
      <c r="N61" s="324">
        <v>0.01</v>
      </c>
      <c r="O61" s="324">
        <v>0.01</v>
      </c>
      <c r="Q61" s="324">
        <v>0.01</v>
      </c>
      <c r="R61" s="324">
        <v>0.01</v>
      </c>
      <c r="S61" s="324">
        <v>0.01</v>
      </c>
      <c r="T61" s="324">
        <v>0.01</v>
      </c>
      <c r="U61" s="324">
        <v>0.01</v>
      </c>
      <c r="W61"/>
      <c r="X61"/>
      <c r="Y61"/>
      <c r="Z61"/>
      <c r="AA61"/>
    </row>
    <row r="62" spans="1:27" ht="12" customHeight="1">
      <c r="A62" s="220"/>
      <c r="B62" s="220"/>
      <c r="C62" s="325"/>
      <c r="W62"/>
      <c r="X62"/>
      <c r="Y62"/>
      <c r="Z62"/>
      <c r="AA62"/>
    </row>
    <row r="63" spans="1:27" ht="17.25" customHeight="1">
      <c r="A63" s="408" t="s">
        <v>55</v>
      </c>
      <c r="B63" s="409"/>
      <c r="C63" s="409"/>
      <c r="D63" s="409"/>
      <c r="E63" s="409"/>
      <c r="F63" s="409"/>
      <c r="G63" s="409"/>
      <c r="H63" s="409"/>
      <c r="I63" s="409"/>
      <c r="W63"/>
      <c r="X63"/>
      <c r="Y63"/>
      <c r="Z63"/>
      <c r="AA63"/>
    </row>
    <row r="64" spans="1:27" ht="17.25" customHeight="1">
      <c r="A64" s="326"/>
      <c r="B64" s="327"/>
      <c r="C64" s="327"/>
      <c r="D64" s="327"/>
      <c r="E64" s="327"/>
      <c r="F64" s="327"/>
      <c r="G64" s="327"/>
      <c r="H64" s="327"/>
      <c r="I64" s="327"/>
      <c r="W64"/>
      <c r="X64"/>
      <c r="Y64"/>
      <c r="Z64"/>
      <c r="AA64"/>
    </row>
    <row r="65" spans="1:27" ht="12.5">
      <c r="A65" s="220"/>
      <c r="B65" s="220"/>
      <c r="C65" s="325"/>
      <c r="E65" s="331"/>
      <c r="F65" s="331"/>
      <c r="G65" s="331"/>
      <c r="H65" s="331"/>
      <c r="I65" s="331"/>
      <c r="K65" s="331"/>
      <c r="L65" s="331"/>
      <c r="M65" s="331"/>
      <c r="N65" s="331"/>
      <c r="O65" s="331"/>
      <c r="Q65" s="331"/>
      <c r="R65" s="331"/>
      <c r="S65" s="331"/>
      <c r="T65" s="331"/>
      <c r="U65" s="331"/>
      <c r="W65"/>
      <c r="X65"/>
      <c r="Y65"/>
      <c r="Z65"/>
      <c r="AA65"/>
    </row>
    <row r="66" spans="1:27" ht="13.5" customHeight="1">
      <c r="A66" s="408" t="s">
        <v>56</v>
      </c>
      <c r="B66" s="408"/>
      <c r="C66" s="408"/>
      <c r="D66" s="408"/>
      <c r="E66" s="408"/>
      <c r="F66" s="408"/>
      <c r="G66" s="408"/>
      <c r="H66" s="408"/>
      <c r="I66" s="408"/>
      <c r="K66" s="331"/>
      <c r="L66" s="331"/>
      <c r="M66" s="331"/>
      <c r="N66" s="331"/>
      <c r="O66" s="331"/>
      <c r="Q66" s="331"/>
      <c r="R66" s="331"/>
      <c r="S66" s="331"/>
      <c r="T66" s="331"/>
      <c r="U66" s="331"/>
      <c r="W66"/>
      <c r="X66"/>
      <c r="Y66"/>
      <c r="Z66"/>
      <c r="AA66"/>
    </row>
    <row r="67" spans="1:27" ht="12.5">
      <c r="A67" s="215"/>
      <c r="B67" s="215"/>
      <c r="E67" s="299">
        <f>E83</f>
        <v>2017</v>
      </c>
      <c r="F67" s="299">
        <f>E67+1</f>
        <v>2018</v>
      </c>
      <c r="G67" s="299">
        <f>F67+1</f>
        <v>2019</v>
      </c>
      <c r="H67" s="299">
        <f>G67+1</f>
        <v>2020</v>
      </c>
      <c r="I67" s="299">
        <f>H67+1</f>
        <v>2021</v>
      </c>
      <c r="K67" s="352"/>
      <c r="L67" s="352"/>
      <c r="M67" s="352"/>
      <c r="N67" s="352"/>
      <c r="O67" s="352"/>
      <c r="Q67" s="352"/>
      <c r="R67" s="352"/>
      <c r="S67" s="352"/>
      <c r="T67" s="352"/>
      <c r="U67" s="352"/>
      <c r="W67"/>
      <c r="X67"/>
      <c r="Y67"/>
      <c r="Z67"/>
      <c r="AA67"/>
    </row>
    <row r="68" spans="1:27" ht="12.5">
      <c r="A68" s="332" t="s">
        <v>14</v>
      </c>
      <c r="B68" s="332"/>
      <c r="C68" s="333"/>
      <c r="D68" s="333"/>
      <c r="E68" s="334" cm="1">
        <f t="array" ref="E68">CHOOSE(_xlfn.IFS($D$10="Best Case",1,$D$10="Base Case",2,$D$10="Worst Case",3),E18,K18,Q18)</f>
        <v>-0.01</v>
      </c>
      <c r="F68" s="334" cm="1">
        <f t="array" ref="F68">CHOOSE(_xlfn.IFS($D$10="Best Case",1,$D$10="Base Case",2,$D$10="Worst Case",3),F18,L18,R18)</f>
        <v>0</v>
      </c>
      <c r="G68" s="334" cm="1">
        <f t="array" ref="G68">CHOOSE(_xlfn.IFS($D$10="Best Case",1,$D$10="Base Case",2,$D$10="Worst Case",3),G18,M18,S18)</f>
        <v>5.0000000000000001E-3</v>
      </c>
      <c r="H68" s="334" cm="1">
        <f t="array" ref="H68">CHOOSE(_xlfn.IFS($D$10="Best Case",1,$D$10="Base Case",2,$D$10="Worst Case",3),H18,N18,T18)</f>
        <v>0.01</v>
      </c>
      <c r="I68" s="334" cm="1">
        <f t="array" ref="I68">CHOOSE(_xlfn.IFS($D$10="Best Case",1,$D$10="Base Case",2,$D$10="Worst Case",3),I18,O18,U18)</f>
        <v>1.4999999999999999E-2</v>
      </c>
      <c r="K68" s="353"/>
      <c r="L68" s="353"/>
      <c r="M68" s="353"/>
      <c r="N68" s="353"/>
      <c r="O68" s="353"/>
      <c r="Q68" s="353"/>
      <c r="R68" s="353"/>
      <c r="S68" s="353"/>
      <c r="T68" s="353"/>
      <c r="U68" s="353"/>
      <c r="W68"/>
      <c r="X68"/>
      <c r="Y68"/>
      <c r="Z68"/>
      <c r="AA68"/>
    </row>
    <row r="69" spans="1:27" ht="12.5">
      <c r="A69" s="332" t="s">
        <v>15</v>
      </c>
      <c r="B69" s="332"/>
      <c r="C69" s="333"/>
      <c r="D69" s="333"/>
      <c r="E69" s="333"/>
      <c r="F69" s="333"/>
      <c r="G69" s="333"/>
      <c r="H69" s="333"/>
      <c r="I69" s="333"/>
      <c r="K69" s="331"/>
      <c r="L69" s="331"/>
      <c r="M69" s="331"/>
      <c r="N69" s="331"/>
      <c r="O69" s="331"/>
      <c r="Q69" s="331"/>
      <c r="R69" s="331"/>
      <c r="S69" s="331"/>
      <c r="T69" s="331"/>
      <c r="U69" s="331"/>
      <c r="W69"/>
      <c r="X69"/>
      <c r="Y69"/>
      <c r="Z69"/>
      <c r="AA69"/>
    </row>
    <row r="70" spans="1:27" ht="12.5">
      <c r="A70" s="335" t="s">
        <v>16</v>
      </c>
      <c r="B70" s="335"/>
      <c r="C70" s="333"/>
      <c r="D70" s="333"/>
      <c r="E70" s="334" cm="1">
        <f t="array" ref="E70">CHOOSE(_xlfn.IFS($D$10="Best Case",1,$D$10="Base Case",2,$D$10="Worst Case",3),E20,K20,Q20)</f>
        <v>0.38500000000000001</v>
      </c>
      <c r="F70" s="334" cm="1">
        <f t="array" ref="F70">CHOOSE(_xlfn.IFS($D$10="Best Case",1,$D$10="Base Case",2,$D$10="Worst Case",3),F20,L20,R20)</f>
        <v>0.38500000000000001</v>
      </c>
      <c r="G70" s="334" cm="1">
        <f t="array" ref="G70">CHOOSE(_xlfn.IFS($D$10="Best Case",1,$D$10="Base Case",2,$D$10="Worst Case",3),G20,M20,S20)</f>
        <v>0.38500000000000001</v>
      </c>
      <c r="H70" s="334" cm="1">
        <f t="array" ref="H70">CHOOSE(_xlfn.IFS($D$10="Best Case",1,$D$10="Base Case",2,$D$10="Worst Case",3),H20,N20,T20)</f>
        <v>0.38500000000000001</v>
      </c>
      <c r="I70" s="334" cm="1">
        <f t="array" ref="I70">CHOOSE(_xlfn.IFS($D$10="Best Case",1,$D$10="Base Case",2,$D$10="Worst Case",3),I20,O20,U20)</f>
        <v>0.38500000000000001</v>
      </c>
      <c r="W70"/>
      <c r="X70"/>
      <c r="Y70"/>
      <c r="Z70"/>
      <c r="AA70"/>
    </row>
    <row r="71" spans="1:27" ht="12.5">
      <c r="A71" s="336" t="s">
        <v>17</v>
      </c>
      <c r="B71" s="335"/>
      <c r="C71" s="333"/>
      <c r="D71" s="333"/>
      <c r="E71" s="334" cm="1">
        <f t="array" ref="E71">CHOOSE(_xlfn.IFS($D$10="Best Case",1,$D$10="Base Case",2,$D$10="Worst Case",3),E21,K21,Q21)</f>
        <v>0.47499999999999998</v>
      </c>
      <c r="F71" s="334" cm="1">
        <f t="array" ref="F71">CHOOSE(_xlfn.IFS($D$10="Best Case",1,$D$10="Base Case",2,$D$10="Worst Case",3),F21,L21,R21)</f>
        <v>0.47499999999999998</v>
      </c>
      <c r="G71" s="334" cm="1">
        <f t="array" ref="G71">CHOOSE(_xlfn.IFS($D$10="Best Case",1,$D$10="Base Case",2,$D$10="Worst Case",3),G21,M21,S21)</f>
        <v>0.47499999999999998</v>
      </c>
      <c r="H71" s="334" cm="1">
        <f t="array" ref="H71">CHOOSE(_xlfn.IFS($D$10="Best Case",1,$D$10="Base Case",2,$D$10="Worst Case",3),H21,N21,T21)</f>
        <v>0.47499999999999998</v>
      </c>
      <c r="I71" s="334" cm="1">
        <f t="array" ref="I71">CHOOSE(_xlfn.IFS($D$10="Best Case",1,$D$10="Base Case",2,$D$10="Worst Case",3),I21,O21,U21)</f>
        <v>0.47499999999999998</v>
      </c>
      <c r="W71"/>
      <c r="X71"/>
      <c r="Y71"/>
      <c r="Z71"/>
      <c r="AA71"/>
    </row>
    <row r="72" spans="1:27" ht="12.5">
      <c r="A72" s="336" t="s">
        <v>18</v>
      </c>
      <c r="B72" s="332"/>
      <c r="C72" s="333"/>
      <c r="D72" s="333"/>
      <c r="E72" s="334" cm="1">
        <f t="array" ref="E72">CHOOSE(_xlfn.IFS($D$10="Best Case",1,$D$10="Base Case",2,$D$10="Worst Case",3),E22,K22,Q22)</f>
        <v>0.06</v>
      </c>
      <c r="F72" s="334" cm="1">
        <f t="array" ref="F72">CHOOSE(_xlfn.IFS($D$10="Best Case",1,$D$10="Base Case",2,$D$10="Worst Case",3),F22,L22,R22)</f>
        <v>0.06</v>
      </c>
      <c r="G72" s="334" cm="1">
        <f t="array" ref="G72">CHOOSE(_xlfn.IFS($D$10="Best Case",1,$D$10="Base Case",2,$D$10="Worst Case",3),G22,M22,S22)</f>
        <v>0.06</v>
      </c>
      <c r="H72" s="334" cm="1">
        <f t="array" ref="H72">CHOOSE(_xlfn.IFS($D$10="Best Case",1,$D$10="Base Case",2,$D$10="Worst Case",3),H22,N22,T22)</f>
        <v>0.06</v>
      </c>
      <c r="I72" s="334" cm="1">
        <f t="array" ref="I72">CHOOSE(_xlfn.IFS($D$10="Best Case",1,$D$10="Base Case",2,$D$10="Worst Case",3),I22,O22,U22)</f>
        <v>0.06</v>
      </c>
      <c r="W72"/>
      <c r="X72"/>
      <c r="Y72"/>
      <c r="Z72"/>
      <c r="AA72"/>
    </row>
    <row r="73" spans="1:27" ht="12.5">
      <c r="A73" s="336" t="s">
        <v>19</v>
      </c>
      <c r="B73" s="335"/>
      <c r="C73" s="333"/>
      <c r="D73" s="333"/>
      <c r="E73" s="334" cm="1">
        <f t="array" ref="E73">CHOOSE(_xlfn.IFS($D$10="Best Case",1,$D$10="Base Case",2,$D$10="Worst Case",3),E23,K23,Q23)</f>
        <v>-5.0000000000000001E-3</v>
      </c>
      <c r="F73" s="334" cm="1">
        <f t="array" ref="F73">CHOOSE(_xlfn.IFS($D$10="Best Case",1,$D$10="Base Case",2,$D$10="Worst Case",3),F23,L23,R23)</f>
        <v>-5.0000000000000001E-3</v>
      </c>
      <c r="G73" s="334" cm="1">
        <f t="array" ref="G73">CHOOSE(_xlfn.IFS($D$10="Best Case",1,$D$10="Base Case",2,$D$10="Worst Case",3),G23,M23,S23)</f>
        <v>-5.0000000000000001E-3</v>
      </c>
      <c r="H73" s="334" cm="1">
        <f t="array" ref="H73">CHOOSE(_xlfn.IFS($D$10="Best Case",1,$D$10="Base Case",2,$D$10="Worst Case",3),H23,N23,T23)</f>
        <v>-5.0000000000000001E-3</v>
      </c>
      <c r="I73" s="334" cm="1">
        <f t="array" ref="I73">CHOOSE(_xlfn.IFS($D$10="Best Case",1,$D$10="Base Case",2,$D$10="Worst Case",3),I23,O23,U23)</f>
        <v>-5.0000000000000001E-3</v>
      </c>
      <c r="W73"/>
      <c r="X73"/>
      <c r="Y73"/>
      <c r="Z73"/>
      <c r="AA73"/>
    </row>
    <row r="74" spans="1:27" ht="12.5">
      <c r="A74" s="332" t="s">
        <v>57</v>
      </c>
      <c r="B74" s="337"/>
      <c r="C74" s="333"/>
      <c r="D74" s="338"/>
      <c r="E74" s="402" t="s">
        <v>21</v>
      </c>
      <c r="F74" s="403"/>
      <c r="G74" s="403"/>
      <c r="H74" s="403"/>
      <c r="I74" s="404"/>
      <c r="W74"/>
      <c r="X74"/>
      <c r="Y74"/>
      <c r="Z74"/>
      <c r="AA74"/>
    </row>
    <row r="75" spans="1:27" ht="12.5">
      <c r="A75" s="332" t="s">
        <v>58</v>
      </c>
      <c r="B75" s="337"/>
      <c r="C75" s="333"/>
      <c r="D75" s="338"/>
      <c r="E75" s="405"/>
      <c r="F75" s="406"/>
      <c r="G75" s="406"/>
      <c r="H75" s="406"/>
      <c r="I75" s="407"/>
      <c r="W75"/>
      <c r="X75"/>
      <c r="Y75"/>
      <c r="Z75"/>
      <c r="AA75"/>
    </row>
    <row r="76" spans="1:27" ht="12.5">
      <c r="A76" s="339"/>
      <c r="B76" s="339"/>
      <c r="C76" s="333"/>
      <c r="D76" s="333"/>
      <c r="E76" s="333"/>
      <c r="F76" s="333"/>
      <c r="G76" s="333"/>
      <c r="H76" s="333"/>
      <c r="I76" s="333"/>
      <c r="W76"/>
      <c r="X76"/>
      <c r="Y76"/>
      <c r="Z76"/>
      <c r="AA76"/>
    </row>
    <row r="77" spans="1:27" ht="12.5">
      <c r="A77" s="339" t="s">
        <v>23</v>
      </c>
      <c r="B77" s="334"/>
      <c r="C77" s="333"/>
      <c r="D77" s="333"/>
      <c r="E77" s="334" cm="1">
        <f t="array" ref="E77">CHOOSE(_xlfn.IFS($D$10="Best Case",1,$D$10="Base Case",2,$D$10="Worst Case",3),E27,K27,Q27)</f>
        <v>0.21</v>
      </c>
      <c r="F77" s="334" cm="1">
        <f t="array" ref="F77">CHOOSE(_xlfn.IFS($D$10="Best Case",1,$D$10="Base Case",2,$D$10="Worst Case",3),F27,L27,R27)</f>
        <v>0.21</v>
      </c>
      <c r="G77" s="334" cm="1">
        <f t="array" ref="G77">CHOOSE(_xlfn.IFS($D$10="Best Case",1,$D$10="Base Case",2,$D$10="Worst Case",3),G27,M27,S27)</f>
        <v>0.21</v>
      </c>
      <c r="H77" s="334" cm="1">
        <f t="array" ref="H77">CHOOSE(_xlfn.IFS($D$10="Best Case",1,$D$10="Base Case",2,$D$10="Worst Case",3),H27,N27,T27)</f>
        <v>0.21</v>
      </c>
      <c r="I77" s="334" cm="1">
        <f t="array" ref="I77">CHOOSE(_xlfn.IFS($D$10="Best Case",1,$D$10="Base Case",2,$D$10="Worst Case",3),I27,O27,U27)</f>
        <v>0.21</v>
      </c>
      <c r="W77"/>
      <c r="X77"/>
      <c r="Y77"/>
      <c r="Z77"/>
      <c r="AA77"/>
    </row>
    <row r="78" spans="1:27" ht="12.5">
      <c r="A78" s="339" t="s">
        <v>24</v>
      </c>
      <c r="B78" s="334"/>
      <c r="C78" s="333"/>
      <c r="D78" s="333"/>
      <c r="E78" s="334" cm="1">
        <f t="array" ref="E78">CHOOSE(_xlfn.IFS($D$10="Best Case",1,$D$10="Base Case",2,$D$10="Worst Case",3),E28,K28,Q28)</f>
        <v>0.08</v>
      </c>
      <c r="F78" s="334" cm="1">
        <f t="array" ref="F78">CHOOSE(_xlfn.IFS($D$10="Best Case",1,$D$10="Base Case",2,$D$10="Worst Case",3),F28,L28,R28)</f>
        <v>0.08</v>
      </c>
      <c r="G78" s="334" cm="1">
        <f t="array" ref="G78">CHOOSE(_xlfn.IFS($D$10="Best Case",1,$D$10="Base Case",2,$D$10="Worst Case",3),G28,M28,S28)</f>
        <v>0.08</v>
      </c>
      <c r="H78" s="334" cm="1">
        <f t="array" ref="H78">CHOOSE(_xlfn.IFS($D$10="Best Case",1,$D$10="Base Case",2,$D$10="Worst Case",3),H28,N28,T28)</f>
        <v>0.08</v>
      </c>
      <c r="I78" s="334" cm="1">
        <f t="array" ref="I78">CHOOSE(_xlfn.IFS($D$10="Best Case",1,$D$10="Base Case",2,$D$10="Worst Case",3),I28,O28,U28)</f>
        <v>0.08</v>
      </c>
      <c r="W78"/>
      <c r="X78"/>
      <c r="Y78"/>
      <c r="Z78"/>
      <c r="AA78"/>
    </row>
    <row r="79" spans="1:27" ht="12.5">
      <c r="A79" s="339" t="s">
        <v>25</v>
      </c>
      <c r="B79" s="340"/>
      <c r="C79" s="341"/>
      <c r="D79" s="341"/>
      <c r="E79" s="342" cm="1">
        <f t="array" ref="E79">CHOOSE(_xlfn.IFS($D$10="Best Case",1,$D$10="Base Case",2,$D$10="Worst Case",3),E29,K29,Q29)</f>
        <v>68100</v>
      </c>
      <c r="F79" s="342" cm="1">
        <f t="array" ref="F79">CHOOSE(_xlfn.IFS($D$10="Best Case",1,$D$10="Base Case",2,$D$10="Worst Case",3),F29,L29,R29)</f>
        <v>68100</v>
      </c>
      <c r="G79" s="342" cm="1">
        <f t="array" ref="G79">CHOOSE(_xlfn.IFS($D$10="Best Case",1,$D$10="Base Case",2,$D$10="Worst Case",3),G29,M29,S29)</f>
        <v>68100</v>
      </c>
      <c r="H79" s="342" cm="1">
        <f t="array" ref="H79">CHOOSE(_xlfn.IFS($D$10="Best Case",1,$D$10="Base Case",2,$D$10="Worst Case",3),H29,N29,T29)</f>
        <v>68100</v>
      </c>
      <c r="I79" s="342" cm="1">
        <f t="array" ref="I79">CHOOSE(_xlfn.IFS($D$10="Best Case",1,$D$10="Base Case",2,$D$10="Worst Case",3),I29,O29,U29)</f>
        <v>68100</v>
      </c>
      <c r="W79"/>
      <c r="X79"/>
      <c r="Y79"/>
      <c r="Z79"/>
      <c r="AA79"/>
    </row>
    <row r="80" spans="1:27" ht="12.5">
      <c r="A80" s="339"/>
      <c r="B80" s="339"/>
      <c r="C80" s="333"/>
      <c r="D80" s="333"/>
      <c r="E80" s="333"/>
      <c r="F80" s="333"/>
      <c r="G80" s="333"/>
      <c r="H80" s="333"/>
      <c r="I80" s="333"/>
      <c r="W80"/>
      <c r="X80"/>
      <c r="Y80"/>
      <c r="Z80"/>
      <c r="AA80"/>
    </row>
    <row r="81" spans="1:27" ht="15.5">
      <c r="A81" s="371" t="s">
        <v>59</v>
      </c>
      <c r="B81" s="371"/>
      <c r="C81" s="371"/>
      <c r="D81" s="371"/>
      <c r="E81" s="371"/>
      <c r="F81" s="371"/>
      <c r="G81" s="371"/>
      <c r="H81" s="371"/>
      <c r="I81" s="371"/>
      <c r="W81"/>
      <c r="X81"/>
      <c r="Y81"/>
      <c r="Z81"/>
      <c r="AA81"/>
    </row>
    <row r="82" spans="1:27" ht="12.5">
      <c r="A82" s="332"/>
      <c r="B82" s="332"/>
      <c r="C82" s="333"/>
      <c r="D82" s="333"/>
      <c r="E82" s="333"/>
      <c r="F82" s="333"/>
      <c r="G82" s="333"/>
      <c r="H82" s="333"/>
      <c r="I82" s="333"/>
      <c r="W82"/>
      <c r="X82"/>
      <c r="Y82"/>
      <c r="Z82"/>
      <c r="AA82"/>
    </row>
    <row r="83" spans="1:27" ht="12.5">
      <c r="A83" s="335"/>
      <c r="B83" s="335"/>
      <c r="C83" s="333"/>
      <c r="D83" s="333"/>
      <c r="E83" s="343">
        <f>E17</f>
        <v>2017</v>
      </c>
      <c r="F83" s="343">
        <f t="shared" ref="F83:I83" si="14">E83+1</f>
        <v>2018</v>
      </c>
      <c r="G83" s="343">
        <f t="shared" si="14"/>
        <v>2019</v>
      </c>
      <c r="H83" s="343">
        <f t="shared" si="14"/>
        <v>2020</v>
      </c>
      <c r="I83" s="343">
        <f t="shared" si="14"/>
        <v>2021</v>
      </c>
      <c r="W83"/>
      <c r="X83"/>
      <c r="Y83"/>
      <c r="Z83"/>
      <c r="AA83"/>
    </row>
    <row r="84" spans="1:27" ht="13">
      <c r="A84" s="344" t="s">
        <v>27</v>
      </c>
      <c r="B84" s="344"/>
      <c r="C84" s="333"/>
      <c r="D84" s="333"/>
      <c r="E84" s="345"/>
      <c r="F84" s="345"/>
      <c r="G84" s="345"/>
      <c r="H84" s="345"/>
      <c r="I84" s="345"/>
      <c r="W84"/>
      <c r="X84"/>
      <c r="Y84"/>
      <c r="Z84"/>
      <c r="AA84"/>
    </row>
    <row r="85" spans="1:27" ht="12.5">
      <c r="A85" s="346" t="s">
        <v>28</v>
      </c>
      <c r="B85" s="346"/>
      <c r="C85" s="333"/>
      <c r="D85" s="333"/>
      <c r="E85" s="345"/>
      <c r="F85" s="345"/>
      <c r="G85" s="345"/>
      <c r="H85" s="345"/>
      <c r="I85" s="333"/>
      <c r="W85"/>
      <c r="X85"/>
      <c r="Y85"/>
      <c r="Z85"/>
      <c r="AA85"/>
    </row>
    <row r="86" spans="1:27" ht="12.5">
      <c r="A86" s="335" t="s">
        <v>29</v>
      </c>
      <c r="B86" s="347"/>
      <c r="C86" s="333"/>
      <c r="D86" s="333"/>
      <c r="E86" s="372" t="s">
        <v>30</v>
      </c>
      <c r="F86" s="373"/>
      <c r="G86" s="373"/>
      <c r="H86" s="373"/>
      <c r="I86" s="374"/>
      <c r="W86"/>
      <c r="X86"/>
      <c r="Y86"/>
      <c r="Z86"/>
      <c r="AA86"/>
    </row>
    <row r="87" spans="1:27" ht="12.5">
      <c r="A87" s="335" t="s">
        <v>31</v>
      </c>
      <c r="B87" s="347"/>
      <c r="C87" s="333"/>
      <c r="D87" s="333"/>
      <c r="E87" s="375" t="s">
        <v>32</v>
      </c>
      <c r="F87" s="376"/>
      <c r="G87" s="376"/>
      <c r="H87" s="376"/>
      <c r="I87" s="377"/>
      <c r="W87"/>
      <c r="X87"/>
      <c r="Y87"/>
      <c r="Z87"/>
      <c r="AA87"/>
    </row>
    <row r="88" spans="1:27" ht="12.5">
      <c r="A88" s="335" t="s">
        <v>33</v>
      </c>
      <c r="B88" s="347"/>
      <c r="C88" s="333"/>
      <c r="D88" s="333"/>
      <c r="E88" s="378"/>
      <c r="F88" s="379"/>
      <c r="G88" s="379"/>
      <c r="H88" s="379"/>
      <c r="I88" s="380"/>
      <c r="W88"/>
      <c r="X88"/>
      <c r="Y88"/>
      <c r="Z88"/>
      <c r="AA88"/>
    </row>
    <row r="89" spans="1:27" ht="12.5">
      <c r="A89" s="335" t="s">
        <v>60</v>
      </c>
      <c r="B89" s="347"/>
      <c r="C89" s="333"/>
      <c r="D89" s="333"/>
      <c r="E89" s="381"/>
      <c r="F89" s="382"/>
      <c r="G89" s="382"/>
      <c r="H89" s="382"/>
      <c r="I89" s="383"/>
      <c r="W89"/>
      <c r="X89"/>
      <c r="Y89"/>
      <c r="Z89"/>
      <c r="AA89"/>
    </row>
    <row r="90" spans="1:27" ht="12.5">
      <c r="A90" s="348"/>
      <c r="B90" s="348"/>
      <c r="C90" s="333"/>
      <c r="D90" s="333"/>
      <c r="E90" s="349"/>
      <c r="F90" s="349"/>
      <c r="G90" s="349"/>
      <c r="H90" s="349"/>
      <c r="I90" s="349"/>
      <c r="W90"/>
      <c r="X90"/>
      <c r="Y90"/>
      <c r="Z90"/>
      <c r="AA90"/>
    </row>
    <row r="91" spans="1:27" ht="12.5">
      <c r="A91" s="348" t="s">
        <v>35</v>
      </c>
      <c r="B91" s="348"/>
      <c r="C91" s="333"/>
      <c r="D91" s="333"/>
      <c r="E91" s="349"/>
      <c r="F91" s="349"/>
      <c r="G91" s="349"/>
      <c r="H91" s="349"/>
      <c r="I91" s="349"/>
      <c r="W91"/>
      <c r="X91"/>
      <c r="Y91"/>
      <c r="Z91"/>
      <c r="AA91"/>
    </row>
    <row r="92" spans="1:27" ht="12.5">
      <c r="A92" s="335" t="s">
        <v>36</v>
      </c>
      <c r="B92" s="335"/>
      <c r="C92" s="333"/>
      <c r="D92" s="333"/>
      <c r="E92" s="372" t="s">
        <v>37</v>
      </c>
      <c r="F92" s="373"/>
      <c r="G92" s="373"/>
      <c r="H92" s="373"/>
      <c r="I92" s="374"/>
      <c r="W92"/>
      <c r="X92"/>
      <c r="Y92"/>
      <c r="Z92"/>
      <c r="AA92"/>
    </row>
    <row r="93" spans="1:27" ht="12.5">
      <c r="A93" s="335" t="s">
        <v>38</v>
      </c>
      <c r="B93" s="335"/>
      <c r="C93" s="333"/>
      <c r="D93" s="333"/>
      <c r="E93" s="350" cm="1">
        <f t="array" ref="E93">CHOOSE(_xlfn.IFS($D$10="Best Case",1,$D$10="Base Case",2,$D$10="Worst Case",3),E43,K43,Q43)</f>
        <v>207774</v>
      </c>
      <c r="F93" s="350" cm="1">
        <f t="array" ref="F93">CHOOSE(_xlfn.IFS($D$10="Best Case",1,$D$10="Base Case",2,$D$10="Worst Case",3),F43,L43,R43)</f>
        <v>227554</v>
      </c>
      <c r="G93" s="350" cm="1">
        <f t="array" ref="G93">CHOOSE(_xlfn.IFS($D$10="Best Case",1,$D$10="Base Case",2,$D$10="Worst Case",3),G43,M43,S43)</f>
        <v>233282</v>
      </c>
      <c r="H93" s="350" cm="1">
        <f t="array" ref="H93">CHOOSE(_xlfn.IFS($D$10="Best Case",1,$D$10="Base Case",2,$D$10="Worst Case",3),H43,N43,T43)</f>
        <v>222870</v>
      </c>
      <c r="I93" s="350" cm="1">
        <f t="array" ref="I93">CHOOSE(_xlfn.IFS($D$10="Best Case",1,$D$10="Base Case",2,$D$10="Worst Case",3),I43,O43,U43)</f>
        <v>227902</v>
      </c>
      <c r="W93"/>
      <c r="X93"/>
      <c r="Y93"/>
      <c r="Z93"/>
      <c r="AA93"/>
    </row>
    <row r="94" spans="1:27" ht="12.5">
      <c r="A94" s="348"/>
      <c r="B94" s="348"/>
      <c r="C94" s="333"/>
      <c r="D94" s="333"/>
      <c r="E94" s="349"/>
      <c r="F94" s="349"/>
      <c r="G94" s="349"/>
      <c r="H94" s="349"/>
      <c r="I94" s="349"/>
      <c r="W94"/>
      <c r="X94"/>
      <c r="Y94"/>
      <c r="Z94"/>
      <c r="AA94"/>
    </row>
    <row r="95" spans="1:27" ht="13">
      <c r="A95" s="351" t="s">
        <v>39</v>
      </c>
      <c r="B95" s="351"/>
      <c r="C95" s="333"/>
      <c r="D95" s="333"/>
      <c r="E95" s="349"/>
      <c r="F95" s="349"/>
      <c r="G95" s="349"/>
      <c r="H95" s="349"/>
      <c r="I95" s="349"/>
      <c r="W95"/>
      <c r="X95"/>
      <c r="Y95"/>
      <c r="Z95"/>
      <c r="AA95"/>
    </row>
    <row r="96" spans="1:27" ht="12.5">
      <c r="A96" s="332" t="s">
        <v>40</v>
      </c>
      <c r="B96" s="332"/>
      <c r="C96" s="333"/>
      <c r="D96" s="333"/>
      <c r="E96" s="349"/>
      <c r="F96" s="349"/>
      <c r="G96" s="349"/>
      <c r="H96" s="349"/>
      <c r="I96" s="349"/>
      <c r="W96"/>
      <c r="X96"/>
      <c r="Y96"/>
      <c r="Z96"/>
      <c r="AA96"/>
    </row>
    <row r="97" spans="1:27" ht="12.5">
      <c r="A97" s="335" t="s">
        <v>41</v>
      </c>
      <c r="B97" s="335"/>
      <c r="C97" s="333"/>
      <c r="D97" s="333"/>
      <c r="E97" s="375" t="s">
        <v>42</v>
      </c>
      <c r="F97" s="376"/>
      <c r="G97" s="376"/>
      <c r="H97" s="376"/>
      <c r="I97" s="377"/>
      <c r="W97"/>
      <c r="X97"/>
      <c r="Y97"/>
      <c r="Z97"/>
      <c r="AA97"/>
    </row>
    <row r="98" spans="1:27" ht="12.5">
      <c r="A98" s="335" t="s">
        <v>43</v>
      </c>
      <c r="B98" s="335"/>
      <c r="C98" s="333"/>
      <c r="D98" s="333"/>
      <c r="E98" s="378"/>
      <c r="F98" s="379"/>
      <c r="G98" s="379"/>
      <c r="H98" s="379"/>
      <c r="I98" s="380"/>
      <c r="W98"/>
      <c r="X98"/>
      <c r="Y98"/>
      <c r="Z98"/>
      <c r="AA98"/>
    </row>
    <row r="99" spans="1:27" ht="12.5">
      <c r="A99" s="335" t="s">
        <v>44</v>
      </c>
      <c r="B99" s="335"/>
      <c r="C99" s="333"/>
      <c r="D99" s="333"/>
      <c r="E99" s="378"/>
      <c r="F99" s="379"/>
      <c r="G99" s="379"/>
      <c r="H99" s="379"/>
      <c r="I99" s="380"/>
      <c r="W99"/>
      <c r="X99"/>
      <c r="Y99"/>
      <c r="Z99"/>
      <c r="AA99"/>
    </row>
    <row r="100" spans="1:27" ht="12.5">
      <c r="A100" s="335" t="s">
        <v>45</v>
      </c>
      <c r="B100" s="335"/>
      <c r="C100" s="333"/>
      <c r="D100" s="333"/>
      <c r="E100" s="381"/>
      <c r="F100" s="382"/>
      <c r="G100" s="382"/>
      <c r="H100" s="382"/>
      <c r="I100" s="383"/>
      <c r="W100"/>
      <c r="X100"/>
      <c r="Y100"/>
      <c r="Z100"/>
      <c r="AA100"/>
    </row>
    <row r="101" spans="1:27" ht="12.5">
      <c r="A101" s="335" t="s">
        <v>46</v>
      </c>
      <c r="B101" s="335"/>
      <c r="C101" s="333"/>
      <c r="D101" s="333"/>
      <c r="E101" s="350" cm="1">
        <f t="array" ref="E101">CHOOSE(_xlfn.IFS($D$10="Best Case",1,$D$10="Base Case",2,$D$10="Worst Case",3),E51,K51,Q51)</f>
        <v>0</v>
      </c>
      <c r="F101" s="350" cm="1">
        <f t="array" ref="F101">CHOOSE(_xlfn.IFS($D$10="Best Case",1,$D$10="Base Case",2,$D$10="Worst Case",3),F51,L51,R51)</f>
        <v>68566</v>
      </c>
      <c r="G101" s="350" cm="1">
        <f t="array" ref="G101">CHOOSE(_xlfn.IFS($D$10="Best Case",1,$D$10="Base Case",2,$D$10="Worst Case",3),G51,M51,S51)</f>
        <v>0</v>
      </c>
      <c r="H101" s="350" cm="1">
        <f t="array" ref="H101">CHOOSE(_xlfn.IFS($D$10="Best Case",1,$D$10="Base Case",2,$D$10="Worst Case",3),H51,N51,T51)</f>
        <v>50000</v>
      </c>
      <c r="I101" s="350" cm="1">
        <f t="array" ref="I101">CHOOSE(_xlfn.IFS($D$10="Best Case",1,$D$10="Base Case",2,$D$10="Worst Case",3),I51,O51,U51)</f>
        <v>0</v>
      </c>
      <c r="W101"/>
      <c r="X101"/>
      <c r="Y101"/>
      <c r="Z101"/>
      <c r="AA101"/>
    </row>
    <row r="102" spans="1:27" ht="12.5">
      <c r="A102" s="332"/>
      <c r="B102" s="332"/>
      <c r="C102" s="333"/>
      <c r="D102" s="333"/>
      <c r="E102" s="349"/>
      <c r="F102" s="349"/>
      <c r="G102" s="349"/>
      <c r="H102" s="349"/>
      <c r="I102" s="349"/>
      <c r="W102"/>
      <c r="X102"/>
      <c r="Y102"/>
      <c r="Z102"/>
      <c r="AA102"/>
    </row>
    <row r="103" spans="1:27" ht="12.5">
      <c r="A103" s="348" t="s">
        <v>47</v>
      </c>
      <c r="B103" s="348"/>
      <c r="C103" s="333"/>
      <c r="D103" s="333"/>
      <c r="E103" s="333"/>
      <c r="F103" s="349"/>
      <c r="G103" s="349"/>
      <c r="H103" s="349"/>
      <c r="I103" s="349"/>
      <c r="W103"/>
      <c r="X103"/>
      <c r="Y103"/>
      <c r="Z103"/>
      <c r="AA103"/>
    </row>
    <row r="104" spans="1:27">
      <c r="A104" s="335" t="s">
        <v>48</v>
      </c>
      <c r="B104" s="348"/>
      <c r="C104" s="333"/>
      <c r="D104" s="333"/>
      <c r="E104" s="350" cm="1">
        <f t="array" ref="E104">CHOOSE(_xlfn.IFS($D$10="Best Case",1,$D$10="Base Case",2,$D$10="Worst Case",3),E54,K54,Q54)</f>
        <v>150000</v>
      </c>
      <c r="F104" s="350" cm="1">
        <f t="array" ref="F104">CHOOSE(_xlfn.IFS($D$10="Best Case",1,$D$10="Base Case",2,$D$10="Worst Case",3),F54,L54,R54)</f>
        <v>0</v>
      </c>
      <c r="G104" s="350" cm="1">
        <f t="array" ref="G104">CHOOSE(_xlfn.IFS($D$10="Best Case",1,$D$10="Base Case",2,$D$10="Worst Case",3),G54,M54,S54)</f>
        <v>0</v>
      </c>
      <c r="H104" s="350" cm="1">
        <f t="array" ref="H104">CHOOSE(_xlfn.IFS($D$10="Best Case",1,$D$10="Base Case",2,$D$10="Worst Case",3),H54,N54,T54)</f>
        <v>0</v>
      </c>
      <c r="I104" s="350" cm="1">
        <f t="array" ref="I104">CHOOSE(_xlfn.IFS($D$10="Best Case",1,$D$10="Base Case",2,$D$10="Worst Case",3),I54,O54,U54)</f>
        <v>0</v>
      </c>
    </row>
    <row r="105" spans="1:27">
      <c r="A105" s="335" t="s">
        <v>61</v>
      </c>
      <c r="B105" s="335"/>
      <c r="C105" s="333"/>
      <c r="D105" s="333"/>
      <c r="E105" s="334" cm="1">
        <f t="array" ref="E105">CHOOSE(_xlfn.IFS($D$10="Best Case",1,$D$10="Base Case",2,$D$10="Worst Case",3),E55,K55,Q55)</f>
        <v>2.5000000000000001E-2</v>
      </c>
      <c r="F105" s="334" cm="1">
        <f t="array" ref="F105">CHOOSE(_xlfn.IFS($D$10="Best Case",1,$D$10="Base Case",2,$D$10="Worst Case",3),F55,L55,R55)</f>
        <v>2.5000000000000001E-2</v>
      </c>
      <c r="G105" s="334" cm="1">
        <f t="array" ref="G105">CHOOSE(_xlfn.IFS($D$10="Best Case",1,$D$10="Base Case",2,$D$10="Worst Case",3),G55,M55,S55)</f>
        <v>2.5000000000000001E-2</v>
      </c>
      <c r="H105" s="334" cm="1">
        <f t="array" ref="H105">CHOOSE(_xlfn.IFS($D$10="Best Case",1,$D$10="Base Case",2,$D$10="Worst Case",3),H55,N55,T55)</f>
        <v>2.5000000000000001E-2</v>
      </c>
      <c r="I105" s="334" cm="1">
        <f t="array" ref="I105">CHOOSE(_xlfn.IFS($D$10="Best Case",1,$D$10="Base Case",2,$D$10="Worst Case",3),I55,O55,U55)</f>
        <v>2.5000000000000001E-2</v>
      </c>
    </row>
    <row r="106" spans="1:27">
      <c r="A106" s="335" t="s">
        <v>50</v>
      </c>
      <c r="B106" s="335"/>
      <c r="C106" s="333"/>
      <c r="D106" s="333"/>
      <c r="E106" s="350" cm="1">
        <f t="array" ref="E106">CHOOSE(_xlfn.IFS($D$10="Best Case",1,$D$10="Base Case",2,$D$10="Worst Case",3),E56,K56,Q56)</f>
        <v>203567</v>
      </c>
      <c r="F106" s="350" cm="1">
        <f t="array" ref="F106">CHOOSE(_xlfn.IFS($D$10="Best Case",1,$D$10="Base Case",2,$D$10="Worst Case",3),F56,L56,R56)</f>
        <v>203567</v>
      </c>
      <c r="G106" s="350" cm="1">
        <f t="array" ref="G106">CHOOSE(_xlfn.IFS($D$10="Best Case",1,$D$10="Base Case",2,$D$10="Worst Case",3),G56,M56,S56)</f>
        <v>203567</v>
      </c>
      <c r="H106" s="350" cm="1">
        <f t="array" ref="H106">CHOOSE(_xlfn.IFS($D$10="Best Case",1,$D$10="Base Case",2,$D$10="Worst Case",3),H56,N56,T56)</f>
        <v>203567</v>
      </c>
      <c r="I106" s="350" cm="1">
        <f t="array" ref="I106">CHOOSE(_xlfn.IFS($D$10="Best Case",1,$D$10="Base Case",2,$D$10="Worst Case",3),I56,O56,U56)</f>
        <v>203567</v>
      </c>
    </row>
    <row r="107" spans="1:27" ht="12.5">
      <c r="A107" s="220"/>
      <c r="B107" s="220"/>
      <c r="E107"/>
      <c r="F107"/>
      <c r="G107"/>
      <c r="H107"/>
      <c r="I107"/>
    </row>
    <row r="108" spans="1:27" ht="13">
      <c r="A108" s="320" t="s">
        <v>51</v>
      </c>
      <c r="B108" s="320"/>
      <c r="E108"/>
      <c r="F108"/>
      <c r="G108"/>
      <c r="H108"/>
      <c r="I108"/>
    </row>
    <row r="109" spans="1:27">
      <c r="A109" s="105" t="s">
        <v>52</v>
      </c>
      <c r="B109" s="105"/>
      <c r="E109" s="334" cm="1">
        <f t="array" ref="E109">CHOOSE(_xlfn.IFS($D$10="Best Case",1,$D$10="Base Case",2,$D$10="Worst Case",3),E59,K59,Q59)</f>
        <v>0.15</v>
      </c>
      <c r="F109" s="334" cm="1">
        <f t="array" ref="F109">CHOOSE(_xlfn.IFS($D$10="Best Case",1,$D$10="Base Case",2,$D$10="Worst Case",3),F59,L59,R59)</f>
        <v>0.15</v>
      </c>
      <c r="G109" s="334" cm="1">
        <f t="array" ref="G109">CHOOSE(_xlfn.IFS($D$10="Best Case",1,$D$10="Base Case",2,$D$10="Worst Case",3),G59,M59,S59)</f>
        <v>0.15</v>
      </c>
      <c r="H109" s="334" cm="1">
        <f t="array" ref="H109">CHOOSE(_xlfn.IFS($D$10="Best Case",1,$D$10="Base Case",2,$D$10="Worst Case",3),H59,N59,T59)</f>
        <v>0.15</v>
      </c>
      <c r="I109" s="334" cm="1">
        <f t="array" ref="I109">CHOOSE(_xlfn.IFS($D$10="Best Case",1,$D$10="Base Case",2,$D$10="Worst Case",3),I59,O59,U59)</f>
        <v>0.15</v>
      </c>
    </row>
    <row r="110" spans="1:27">
      <c r="A110" s="105" t="s">
        <v>62</v>
      </c>
      <c r="B110" s="105"/>
      <c r="E110" s="350" cm="1">
        <f t="array" ref="E110">CHOOSE(_xlfn.IFS($D$10="Best Case",1,$D$10="Base Case",2,$D$10="Worst Case",3),E60,K60,Q60)</f>
        <v>0</v>
      </c>
      <c r="F110" s="350" cm="1">
        <f t="array" ref="F110">CHOOSE(_xlfn.IFS($D$10="Best Case",1,$D$10="Base Case",2,$D$10="Worst Case",3),F60,L60,R60)</f>
        <v>0</v>
      </c>
      <c r="G110" s="350" cm="1">
        <f t="array" ref="G110">CHOOSE(_xlfn.IFS($D$10="Best Case",1,$D$10="Base Case",2,$D$10="Worst Case",3),G60,M60,S60)</f>
        <v>0</v>
      </c>
      <c r="H110" s="350" cm="1">
        <f t="array" ref="H110">CHOOSE(_xlfn.IFS($D$10="Best Case",1,$D$10="Base Case",2,$D$10="Worst Case",3),H60,N60,T60)</f>
        <v>0</v>
      </c>
      <c r="I110" s="350" cm="1">
        <f t="array" ref="I110">CHOOSE(_xlfn.IFS($D$10="Best Case",1,$D$10="Base Case",2,$D$10="Worst Case",3),I60,O60,U60)</f>
        <v>0</v>
      </c>
    </row>
    <row r="111" spans="1:27">
      <c r="A111" s="105" t="s">
        <v>63</v>
      </c>
      <c r="B111" s="215"/>
      <c r="C111" s="323"/>
      <c r="D111" s="323"/>
      <c r="E111" s="334" cm="1">
        <f t="array" ref="E111">CHOOSE(_xlfn.IFS($D$10="Best Case",1,$D$10="Base Case",2,$D$10="Worst Case",3),E61,K61,Q61)</f>
        <v>0.01</v>
      </c>
      <c r="F111" s="334" cm="1">
        <f t="array" ref="F111">CHOOSE(_xlfn.IFS($D$10="Best Case",1,$D$10="Base Case",2,$D$10="Worst Case",3),F61,L61,R61)</f>
        <v>0.01</v>
      </c>
      <c r="G111" s="334" cm="1">
        <f t="array" ref="G111">CHOOSE(_xlfn.IFS($D$10="Best Case",1,$D$10="Base Case",2,$D$10="Worst Case",3),G61,M61,S61)</f>
        <v>0.01</v>
      </c>
      <c r="H111" s="334" cm="1">
        <f t="array" ref="H111">CHOOSE(_xlfn.IFS($D$10="Best Case",1,$D$10="Base Case",2,$D$10="Worst Case",3),H61,N61,T61)</f>
        <v>0.01</v>
      </c>
      <c r="I111" s="334" cm="1">
        <f t="array" ref="I111">CHOOSE(_xlfn.IFS($D$10="Best Case",1,$D$10="Base Case",2,$D$10="Worst Case",3),I61,O61,U61)</f>
        <v>0.01</v>
      </c>
    </row>
    <row r="112" spans="1:27" ht="12.5">
      <c r="E112"/>
      <c r="F112"/>
      <c r="G112"/>
      <c r="H112"/>
      <c r="I112"/>
    </row>
    <row r="113" spans="5:9" ht="12.5">
      <c r="E113"/>
      <c r="F113"/>
      <c r="G113"/>
      <c r="H113"/>
      <c r="I113"/>
    </row>
    <row r="114" spans="5:9" ht="12.5">
      <c r="E114"/>
      <c r="F114"/>
      <c r="G114"/>
      <c r="H114"/>
      <c r="I114"/>
    </row>
    <row r="115" spans="5:9" ht="12.5">
      <c r="E115"/>
      <c r="F115"/>
      <c r="G115"/>
      <c r="H115"/>
      <c r="I115"/>
    </row>
    <row r="116" spans="5:9" ht="12.5">
      <c r="E116"/>
      <c r="F116"/>
      <c r="G116"/>
      <c r="H116"/>
      <c r="I116"/>
    </row>
    <row r="117" spans="5:9" ht="12.5">
      <c r="E117"/>
      <c r="F117"/>
      <c r="G117"/>
      <c r="H117"/>
      <c r="I117"/>
    </row>
    <row r="118" spans="5:9" ht="12.5">
      <c r="E118"/>
      <c r="F118"/>
      <c r="G118"/>
      <c r="H118"/>
      <c r="I118"/>
    </row>
    <row r="119" spans="5:9" ht="12.5">
      <c r="E119"/>
      <c r="F119"/>
      <c r="G119"/>
      <c r="H119"/>
      <c r="I119"/>
    </row>
    <row r="120" spans="5:9" ht="12.5">
      <c r="E120"/>
      <c r="F120"/>
      <c r="G120"/>
      <c r="H120"/>
      <c r="I120"/>
    </row>
    <row r="121" spans="5:9" ht="12.5">
      <c r="E121"/>
      <c r="F121"/>
      <c r="G121"/>
      <c r="H121"/>
      <c r="I121"/>
    </row>
  </sheetData>
  <mergeCells count="26">
    <mergeCell ref="E37:I39"/>
    <mergeCell ref="K37:O39"/>
    <mergeCell ref="E74:I75"/>
    <mergeCell ref="Q37:U39"/>
    <mergeCell ref="E47:I50"/>
    <mergeCell ref="K47:O50"/>
    <mergeCell ref="Q47:U50"/>
    <mergeCell ref="E42:I42"/>
    <mergeCell ref="K42:O42"/>
    <mergeCell ref="Q42:U42"/>
    <mergeCell ref="A63:I63"/>
    <mergeCell ref="A66:I66"/>
    <mergeCell ref="A81:I81"/>
    <mergeCell ref="E86:I86"/>
    <mergeCell ref="E92:I92"/>
    <mergeCell ref="E87:I89"/>
    <mergeCell ref="E97:I100"/>
    <mergeCell ref="E13:I13"/>
    <mergeCell ref="K13:O13"/>
    <mergeCell ref="Q13:U13"/>
    <mergeCell ref="E36:I36"/>
    <mergeCell ref="K36:O36"/>
    <mergeCell ref="Q36:U36"/>
    <mergeCell ref="E24:I25"/>
    <mergeCell ref="K24:O25"/>
    <mergeCell ref="Q24:U25"/>
  </mergeCells>
  <phoneticPr fontId="45" type="noConversion"/>
  <dataValidations count="2">
    <dataValidation type="list" allowBlank="1" showInputMessage="1" showErrorMessage="1" sqref="D10" xr:uid="{00000000-0002-0000-0000-000000000000}">
      <formula1>"Best Case, Base Case, Worst Case"</formula1>
    </dataValidation>
    <dataValidation type="list" allowBlank="1" showInputMessage="1" showErrorMessage="1" sqref="D11" xr:uid="{00000000-0002-0000-0000-000001000000}">
      <formula1>"0,1"</formula1>
    </dataValidation>
  </dataValidations>
  <pageMargins left="0.75" right="0.75" top="1" bottom="1" header="0.5" footer="0.5"/>
  <pageSetup scale="71" orientation="portrait"/>
  <headerFooter alignWithMargins="0">
    <oddHeader>&amp;C&amp;F
Page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showGridLines="0" zoomScaleNormal="100" workbookViewId="0">
      <selection activeCell="D23" sqref="D23"/>
    </sheetView>
  </sheetViews>
  <sheetFormatPr defaultColWidth="8.81640625" defaultRowHeight="10"/>
  <cols>
    <col min="1" max="1" width="57.6328125" style="102" customWidth="1"/>
    <col min="2" max="2" width="14.08984375" style="103" customWidth="1"/>
    <col min="3" max="3" width="9.81640625" style="103" customWidth="1"/>
    <col min="4" max="4" width="9.26953125" style="103" customWidth="1"/>
    <col min="5" max="7" width="9.81640625" style="103" customWidth="1"/>
    <col min="8" max="9" width="11.08984375" style="103" customWidth="1"/>
    <col min="10" max="11" width="8.81640625" style="103"/>
    <col min="12" max="12" width="4.36328125" style="103" customWidth="1"/>
    <col min="13" max="13" width="13.08984375" style="103" customWidth="1"/>
    <col min="14" max="16384" width="8.81640625" style="103"/>
  </cols>
  <sheetData>
    <row r="1" spans="1:16" ht="18">
      <c r="A1" s="104" t="str">
        <f>Assumptions!D6</f>
        <v>Abercrombie &amp; Fitch Co.</v>
      </c>
      <c r="B1" s="104"/>
      <c r="C1" s="104"/>
      <c r="D1" s="104"/>
      <c r="E1" s="104"/>
      <c r="F1" s="104"/>
      <c r="G1" s="104"/>
      <c r="H1" s="104"/>
      <c r="I1" s="104"/>
      <c r="J1"/>
      <c r="K1"/>
      <c r="L1"/>
      <c r="M1"/>
      <c r="N1"/>
      <c r="O1"/>
      <c r="P1"/>
    </row>
    <row r="2" spans="1:16" ht="12.5">
      <c r="A2" s="105"/>
      <c r="I2"/>
      <c r="J2"/>
      <c r="K2"/>
      <c r="L2"/>
      <c r="M2"/>
      <c r="N2"/>
    </row>
    <row r="3" spans="1:16" ht="15.5">
      <c r="A3" s="271" t="s">
        <v>64</v>
      </c>
      <c r="I3"/>
      <c r="J3"/>
      <c r="K3"/>
      <c r="L3"/>
      <c r="N3"/>
    </row>
    <row r="4" spans="1:16" ht="10.9" customHeight="1">
      <c r="A4" s="156" t="str">
        <f>"(Dollars in "&amp;IF(Assumptions!$D$8=0,"Thousands","Millions")&amp;" Except Per Share Data)"</f>
        <v>(Dollars in Thousands Except Per Share Data)</v>
      </c>
      <c r="B4" s="108"/>
      <c r="C4" s="108"/>
      <c r="D4" s="108"/>
      <c r="E4" s="108"/>
      <c r="F4" s="108"/>
      <c r="G4" s="108"/>
      <c r="H4" s="108"/>
      <c r="I4"/>
      <c r="J4"/>
      <c r="K4"/>
      <c r="L4"/>
      <c r="M4"/>
      <c r="N4"/>
    </row>
    <row r="5" spans="1:16" ht="12.5">
      <c r="A5" s="105"/>
      <c r="I5"/>
      <c r="J5"/>
      <c r="K5"/>
      <c r="L5"/>
      <c r="M5"/>
      <c r="N5"/>
    </row>
    <row r="6" spans="1:16" s="101" customFormat="1" ht="12.5">
      <c r="A6" s="272"/>
      <c r="B6" s="273">
        <f>+C6-1</f>
        <v>2014</v>
      </c>
      <c r="C6" s="273">
        <f>D6-1</f>
        <v>2015</v>
      </c>
      <c r="D6" s="273">
        <f>Assumptions!$D$9</f>
        <v>2016</v>
      </c>
      <c r="E6" s="158">
        <f>Assumptions!E17</f>
        <v>2017</v>
      </c>
      <c r="F6" s="213">
        <f>Assumptions!F17</f>
        <v>2018</v>
      </c>
      <c r="G6" s="213">
        <f>Assumptions!G17</f>
        <v>2019</v>
      </c>
      <c r="H6" s="213">
        <f>Assumptions!H17</f>
        <v>2020</v>
      </c>
      <c r="I6" s="213">
        <f>Assumptions!I17</f>
        <v>2021</v>
      </c>
      <c r="J6"/>
      <c r="K6"/>
      <c r="L6"/>
      <c r="M6"/>
      <c r="N6"/>
    </row>
    <row r="7" spans="1:16" ht="12.5">
      <c r="A7" s="274" t="s">
        <v>65</v>
      </c>
      <c r="B7" s="275">
        <v>3744030</v>
      </c>
      <c r="C7" s="275">
        <v>3518680</v>
      </c>
      <c r="D7" s="275">
        <v>3326740</v>
      </c>
      <c r="E7" s="276">
        <f>D7*(1+Assumptions!E68)</f>
        <v>3293472.6</v>
      </c>
      <c r="F7" s="276">
        <f>E7*(1+Assumptions!F68)</f>
        <v>3293472.6</v>
      </c>
      <c r="G7" s="276">
        <f>F7*(1+Assumptions!G68)</f>
        <v>3309939.963</v>
      </c>
      <c r="H7" s="276">
        <f>G7*(1+Assumptions!H68)</f>
        <v>3343039.3626299999</v>
      </c>
      <c r="I7" s="276">
        <f>H7*(1+Assumptions!I68)</f>
        <v>3393184.9530694499</v>
      </c>
      <c r="J7"/>
      <c r="K7"/>
      <c r="L7"/>
      <c r="M7"/>
      <c r="N7"/>
    </row>
    <row r="8" spans="1:16" ht="12.5">
      <c r="A8" s="215" t="s">
        <v>66</v>
      </c>
      <c r="B8" s="277">
        <v>-1430460</v>
      </c>
      <c r="C8" s="277">
        <v>-1361137</v>
      </c>
      <c r="D8" s="277">
        <v>-1298172</v>
      </c>
      <c r="E8" s="276">
        <f>-E7*Assumptions!E70</f>
        <v>-1267986.9509999999</v>
      </c>
      <c r="F8" s="276">
        <f>-F7*Assumptions!F70</f>
        <v>-1267986.9509999999</v>
      </c>
      <c r="G8" s="276">
        <f>-G7*Assumptions!G70</f>
        <v>-1274326.8857549999</v>
      </c>
      <c r="H8" s="276">
        <f>-H7*Assumptions!H70</f>
        <v>-1287070.15461255</v>
      </c>
      <c r="I8" s="276">
        <f>-I7*Assumptions!I70</f>
        <v>-1306376.20693174</v>
      </c>
      <c r="J8"/>
      <c r="K8"/>
      <c r="L8"/>
      <c r="M8"/>
      <c r="N8"/>
    </row>
    <row r="9" spans="1:16" ht="12.5">
      <c r="A9" s="274" t="s">
        <v>67</v>
      </c>
      <c r="B9" s="278">
        <v>2313570</v>
      </c>
      <c r="C9" s="278">
        <v>2157543</v>
      </c>
      <c r="D9" s="278">
        <v>2028568</v>
      </c>
      <c r="E9" s="356">
        <f>E7+E8</f>
        <v>2025485.649</v>
      </c>
      <c r="F9" s="356">
        <f t="shared" ref="F9:I9" si="0">F7+F8</f>
        <v>2025485.649</v>
      </c>
      <c r="G9" s="356">
        <f t="shared" si="0"/>
        <v>2035613.0772450001</v>
      </c>
      <c r="H9" s="356">
        <f t="shared" si="0"/>
        <v>2055969.2080174501</v>
      </c>
      <c r="I9" s="356">
        <f t="shared" si="0"/>
        <v>2086808.7461377101</v>
      </c>
      <c r="J9"/>
      <c r="K9"/>
      <c r="L9"/>
      <c r="M9"/>
      <c r="N9"/>
    </row>
    <row r="10" spans="1:16" ht="12.5">
      <c r="A10" s="138" t="s">
        <v>68</v>
      </c>
      <c r="B10" s="277">
        <v>-1703051</v>
      </c>
      <c r="C10" s="277">
        <v>-1604214</v>
      </c>
      <c r="D10" s="277">
        <v>-1578460</v>
      </c>
      <c r="E10" s="357">
        <f>-E7*Assumptions!E71</f>
        <v>-1564399.4850000001</v>
      </c>
      <c r="F10" s="357">
        <f>-F7*Assumptions!F71</f>
        <v>-1564399.4850000001</v>
      </c>
      <c r="G10" s="357">
        <f>-G7*Assumptions!G71</f>
        <v>-1572221.4824250001</v>
      </c>
      <c r="H10" s="357">
        <f>-H7*Assumptions!H71</f>
        <v>-1587943.69724925</v>
      </c>
      <c r="I10" s="357">
        <f>-I7*Assumptions!I71</f>
        <v>-1611762.85270799</v>
      </c>
      <c r="J10"/>
      <c r="K10"/>
      <c r="L10"/>
      <c r="M10"/>
      <c r="N10"/>
    </row>
    <row r="11" spans="1:16" ht="12.5">
      <c r="A11" s="138" t="s">
        <v>69</v>
      </c>
      <c r="B11" s="277">
        <v>-232399</v>
      </c>
      <c r="C11" s="277">
        <v>-256641</v>
      </c>
      <c r="D11" s="277">
        <v>-257788</v>
      </c>
      <c r="E11" s="357">
        <f>-E7*Assumptions!E72</f>
        <v>-197608.356</v>
      </c>
      <c r="F11" s="357">
        <f>-F7*Assumptions!F72</f>
        <v>-197608.356</v>
      </c>
      <c r="G11" s="357">
        <f>-G7*Assumptions!G72</f>
        <v>-198596.39778</v>
      </c>
      <c r="H11" s="357">
        <f>-H7*Assumptions!H72</f>
        <v>-200582.36175780001</v>
      </c>
      <c r="I11" s="357">
        <f>-I7*Assumptions!I72</f>
        <v>-203591.09718416701</v>
      </c>
      <c r="J11"/>
    </row>
    <row r="12" spans="1:16" ht="12.5">
      <c r="A12" s="138" t="s">
        <v>70</v>
      </c>
      <c r="B12" s="277">
        <v>-226421</v>
      </c>
      <c r="C12" s="277">
        <v>-213680</v>
      </c>
      <c r="D12" s="277">
        <v>-195414</v>
      </c>
      <c r="E12" s="358">
        <f>'Fixed Asset Schedule'!G20</f>
        <v>-178247.6</v>
      </c>
      <c r="F12" s="358">
        <f>'Fixed Asset Schedule'!H20</f>
        <v>-191072.6</v>
      </c>
      <c r="G12" s="358">
        <f>'Fixed Asset Schedule'!I20</f>
        <v>-199305.933333333</v>
      </c>
      <c r="H12" s="358">
        <f>'Fixed Asset Schedule'!J20</f>
        <v>-207539.26666666701</v>
      </c>
      <c r="I12" s="358">
        <f>'Fixed Asset Schedule'!K20</f>
        <v>-215772.6</v>
      </c>
      <c r="J12"/>
    </row>
    <row r="13" spans="1:16" ht="12.5">
      <c r="A13" s="138" t="s">
        <v>71</v>
      </c>
      <c r="B13" s="277">
        <v>-38180</v>
      </c>
      <c r="C13" s="277">
        <v>-10170</v>
      </c>
      <c r="D13" s="277">
        <v>18282</v>
      </c>
      <c r="E13" s="358">
        <f>-E7*Assumptions!E73</f>
        <v>16467.363000000001</v>
      </c>
      <c r="F13" s="358">
        <f>-F7*Assumptions!F73</f>
        <v>16467.363000000001</v>
      </c>
      <c r="G13" s="358">
        <f>-G7*Assumptions!G73</f>
        <v>16549.699815</v>
      </c>
      <c r="H13" s="358">
        <f>-H7*Assumptions!H73</f>
        <v>16715.19681315</v>
      </c>
      <c r="I13" s="358">
        <f>-I7*Assumptions!I73</f>
        <v>16965.924765347201</v>
      </c>
      <c r="J13"/>
    </row>
    <row r="14" spans="1:16" ht="10.5">
      <c r="A14" s="133" t="s">
        <v>72</v>
      </c>
      <c r="B14" s="279">
        <v>113519</v>
      </c>
      <c r="C14" s="279">
        <v>72838</v>
      </c>
      <c r="D14" s="279">
        <v>15188</v>
      </c>
      <c r="E14" s="359">
        <f>SUM(E9:E13)</f>
        <v>101697.571</v>
      </c>
      <c r="F14" s="359">
        <f t="shared" ref="F14:I14" si="1">SUM(F9:F13)</f>
        <v>88872.571000000098</v>
      </c>
      <c r="G14" s="359">
        <f t="shared" si="1"/>
        <v>82038.963521666694</v>
      </c>
      <c r="H14" s="359">
        <f t="shared" si="1"/>
        <v>76619.079156883396</v>
      </c>
      <c r="I14" s="359">
        <f t="shared" si="1"/>
        <v>72648.121010903196</v>
      </c>
    </row>
    <row r="15" spans="1:16" ht="10.5">
      <c r="A15" s="138" t="s">
        <v>57</v>
      </c>
      <c r="B15" s="277">
        <v>3500</v>
      </c>
      <c r="C15" s="277">
        <v>4353</v>
      </c>
      <c r="D15" s="277">
        <v>3744</v>
      </c>
      <c r="E15" s="358">
        <f ca="1">IF(Assumptions!$D$11=0,'Debt &amp; Shareholder Schedule'!E45,0)</f>
        <v>11037.162691685711</v>
      </c>
      <c r="F15" s="358">
        <f ca="1">IF(Assumptions!$D$11=0,'Debt &amp; Shareholder Schedule'!F45,0)</f>
        <v>14689.723350671458</v>
      </c>
      <c r="G15" s="358">
        <f ca="1">IF(Assumptions!$D$11=0,'Debt &amp; Shareholder Schedule'!G45,0)</f>
        <v>15810.20693749977</v>
      </c>
      <c r="H15" s="358">
        <f ca="1">IF(Assumptions!$D$11=0,'Debt &amp; Shareholder Schedule'!H45,0)</f>
        <v>17196.508273219821</v>
      </c>
      <c r="I15" s="358">
        <f ca="1">IF(Assumptions!$D$11=0,'Debt &amp; Shareholder Schedule'!I45,0)</f>
        <v>18922.922099808566</v>
      </c>
    </row>
    <row r="16" spans="1:16" ht="10.5">
      <c r="A16" s="138" t="s">
        <v>58</v>
      </c>
      <c r="B16" s="277">
        <v>-17865</v>
      </c>
      <c r="C16" s="277">
        <v>-22601</v>
      </c>
      <c r="D16" s="277">
        <v>-22410</v>
      </c>
      <c r="E16" s="358">
        <f ca="1">IF(Assumptions!$D$11=0,-'Debt &amp; Shareholder Schedule'!E40,0)</f>
        <v>-13147.888800000001</v>
      </c>
      <c r="F16" s="358">
        <f ca="1">IF(Assumptions!$D$11=0,-'Debt &amp; Shareholder Schedule'!F40,0)</f>
        <v>-16065.388800000001</v>
      </c>
      <c r="G16" s="358">
        <f ca="1">IF(Assumptions!$D$11=0,-'Debt &amp; Shareholder Schedule'!G40,0)</f>
        <v>-14731.7801</v>
      </c>
      <c r="H16" s="358">
        <f ca="1">IF(Assumptions!$D$11=0,-'Debt &amp; Shareholder Schedule'!H40,0)</f>
        <v>-13398.171399999999</v>
      </c>
      <c r="I16" s="358">
        <f ca="1">IF(Assumptions!$D$11=0,-'Debt &amp; Shareholder Schedule'!I40,0)</f>
        <v>-12425.671399999999</v>
      </c>
    </row>
    <row r="17" spans="1:9" ht="10.5">
      <c r="A17" s="133" t="s">
        <v>73</v>
      </c>
      <c r="B17" s="280">
        <v>99154</v>
      </c>
      <c r="C17" s="280">
        <v>54590</v>
      </c>
      <c r="D17" s="280">
        <f>SUM(D14:D16)</f>
        <v>-3478</v>
      </c>
      <c r="E17" s="360">
        <f ca="1">SUM(E14:E16)</f>
        <v>99586.844891685701</v>
      </c>
      <c r="F17" s="360">
        <f t="shared" ref="F17:I17" ca="1" si="2">SUM(F14:F16)</f>
        <v>87496.905550671552</v>
      </c>
      <c r="G17" s="360">
        <f t="shared" ca="1" si="2"/>
        <v>83117.390359166457</v>
      </c>
      <c r="H17" s="360">
        <f t="shared" ca="1" si="2"/>
        <v>80417.416030103224</v>
      </c>
      <c r="I17" s="360">
        <f t="shared" ca="1" si="2"/>
        <v>79145.37171071177</v>
      </c>
    </row>
    <row r="18" spans="1:9" ht="10.5">
      <c r="A18" s="138" t="s">
        <v>74</v>
      </c>
      <c r="B18" s="277">
        <v>-47333</v>
      </c>
      <c r="C18" s="277">
        <v>-16031</v>
      </c>
      <c r="D18" s="277">
        <v>11196</v>
      </c>
      <c r="E18" s="357">
        <f ca="1">-E17*Assumptions!E77</f>
        <v>-20913.237427253996</v>
      </c>
      <c r="F18" s="357">
        <f ca="1">-F17*Assumptions!F77</f>
        <v>-18374.350165641026</v>
      </c>
      <c r="G18" s="357">
        <f ca="1">-G17*Assumptions!G77</f>
        <v>-17454.651975424957</v>
      </c>
      <c r="H18" s="357">
        <f ca="1">-H17*Assumptions!H77</f>
        <v>-16887.657366321677</v>
      </c>
      <c r="I18" s="357">
        <f ca="1">-I17*Assumptions!I77</f>
        <v>-16620.528059249471</v>
      </c>
    </row>
    <row r="19" spans="1:9" ht="10.5">
      <c r="A19" s="133" t="s">
        <v>75</v>
      </c>
      <c r="B19" s="281">
        <v>51821</v>
      </c>
      <c r="C19" s="281">
        <v>38559</v>
      </c>
      <c r="D19" s="281">
        <v>7718</v>
      </c>
      <c r="E19" s="136">
        <f ca="1">SUM(E17:E18)</f>
        <v>78673.607464431698</v>
      </c>
      <c r="F19" s="136">
        <f t="shared" ref="F19:I19" ca="1" si="3">SUM(F17:F18)</f>
        <v>69122.55538503053</v>
      </c>
      <c r="G19" s="136">
        <f t="shared" ca="1" si="3"/>
        <v>65662.738383741496</v>
      </c>
      <c r="H19" s="136">
        <f t="shared" ca="1" si="3"/>
        <v>63529.758663781548</v>
      </c>
      <c r="I19" s="136">
        <f t="shared" ca="1" si="3"/>
        <v>62524.843651462303</v>
      </c>
    </row>
    <row r="20" spans="1:9">
      <c r="A20" s="102" t="s">
        <v>76</v>
      </c>
      <c r="B20" s="282">
        <v>0</v>
      </c>
      <c r="C20" s="282">
        <v>-2983</v>
      </c>
      <c r="D20" s="282">
        <v>-3762</v>
      </c>
      <c r="E20" s="139">
        <f ca="1">-E19*Assumptions!E78</f>
        <v>-6293.888597154536</v>
      </c>
      <c r="F20" s="139">
        <f ca="1">-F19*Assumptions!F78</f>
        <v>-5529.8044308024428</v>
      </c>
      <c r="G20" s="139">
        <f ca="1">-G19*Assumptions!G78</f>
        <v>-5253.0190706993199</v>
      </c>
      <c r="H20" s="139">
        <f ca="1">-H19*Assumptions!H78</f>
        <v>-5082.3806931025238</v>
      </c>
      <c r="I20" s="139">
        <f ca="1">-I19*Assumptions!I78</f>
        <v>-5001.987492116984</v>
      </c>
    </row>
    <row r="21" spans="1:9">
      <c r="A21" s="102" t="s">
        <v>77</v>
      </c>
      <c r="B21" s="283">
        <v>51821</v>
      </c>
      <c r="C21" s="283">
        <v>35576</v>
      </c>
      <c r="D21" s="283">
        <f>D19+D20</f>
        <v>3956</v>
      </c>
      <c r="E21" s="284">
        <f ca="1">SUM(E19:E20)</f>
        <v>72379.718867277159</v>
      </c>
      <c r="F21" s="284">
        <f t="shared" ref="F21:I21" ca="1" si="4">SUM(F19:F20)</f>
        <v>63592.75095422809</v>
      </c>
      <c r="G21" s="284">
        <f t="shared" ca="1" si="4"/>
        <v>60409.71931304218</v>
      </c>
      <c r="H21" s="284">
        <f t="shared" ca="1" si="4"/>
        <v>58447.377970679023</v>
      </c>
      <c r="I21" s="284">
        <f t="shared" ca="1" si="4"/>
        <v>57522.85615934532</v>
      </c>
    </row>
    <row r="22" spans="1:9">
      <c r="B22" s="285"/>
      <c r="C22" s="285"/>
      <c r="D22" s="285"/>
      <c r="E22" s="285"/>
    </row>
    <row r="23" spans="1:9">
      <c r="B23" s="101"/>
      <c r="C23" s="101"/>
      <c r="D23" s="101"/>
    </row>
    <row r="24" spans="1:9">
      <c r="B24" s="285"/>
      <c r="C24" s="285"/>
      <c r="D24" s="285"/>
      <c r="E24" s="285"/>
    </row>
    <row r="25" spans="1:9">
      <c r="B25" s="285"/>
      <c r="C25" s="285"/>
      <c r="D25" s="285"/>
      <c r="E25" s="285"/>
    </row>
    <row r="26" spans="1:9">
      <c r="B26" s="285"/>
      <c r="C26" s="285"/>
      <c r="D26" s="285"/>
      <c r="E26" s="285"/>
    </row>
    <row r="27" spans="1:9">
      <c r="B27" s="130"/>
      <c r="C27" s="130"/>
      <c r="D27" s="130"/>
    </row>
    <row r="28" spans="1:9">
      <c r="B28" s="130"/>
      <c r="C28" s="130"/>
      <c r="D28" s="130"/>
      <c r="F28" s="130"/>
    </row>
    <row r="29" spans="1:9">
      <c r="B29" s="130"/>
      <c r="C29" s="130"/>
      <c r="D29" s="130"/>
    </row>
    <row r="30" spans="1:9">
      <c r="B30" s="286"/>
      <c r="C30" s="286"/>
      <c r="D30" s="41"/>
    </row>
    <row r="31" spans="1:9">
      <c r="B31" s="130"/>
      <c r="C31" s="130"/>
      <c r="D31" s="130"/>
    </row>
    <row r="33" spans="2:8">
      <c r="B33" s="286"/>
      <c r="C33" s="286"/>
      <c r="D33" s="286"/>
    </row>
    <row r="34" spans="2:8">
      <c r="D34" s="130"/>
      <c r="H34" s="130"/>
    </row>
    <row r="35" spans="2:8">
      <c r="G35" s="130"/>
    </row>
    <row r="36" spans="2:8">
      <c r="C36" s="130"/>
      <c r="D36" s="130"/>
      <c r="H36" s="130"/>
    </row>
    <row r="37" spans="2:8">
      <c r="D37" s="130"/>
      <c r="H37" s="130"/>
    </row>
    <row r="38" spans="2:8">
      <c r="H38" s="130"/>
    </row>
    <row r="39" spans="2:8">
      <c r="H39" s="130"/>
    </row>
    <row r="40" spans="2:8">
      <c r="H40" s="130"/>
    </row>
    <row r="45" spans="2:8" customFormat="1" ht="12.5">
      <c r="G45" s="269"/>
    </row>
    <row r="46" spans="2:8" customFormat="1" ht="12.5"/>
    <row r="47" spans="2:8" customFormat="1" ht="12.5"/>
    <row r="48" spans="2:8" customFormat="1" ht="12.5"/>
    <row r="49" customFormat="1" ht="12.5"/>
  </sheetData>
  <phoneticPr fontId="45" type="noConversion"/>
  <pageMargins left="0.75" right="0.75" top="1" bottom="1" header="0.5" footer="0.5"/>
  <pageSetup scale="58" orientation="portrait"/>
  <headerFooter alignWithMargins="0">
    <oddHeader>&amp;C&amp;F
Page 2</oddHeader>
  </headerFooter>
  <ignoredErrors>
    <ignoredError sqref="D17:I19 D21:I21 D20" formulaRange="1"/>
    <ignoredError sqref="E20:I20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R44"/>
  <sheetViews>
    <sheetView showGridLines="0" tabSelected="1" zoomScale="130" zoomScaleNormal="130" workbookViewId="0">
      <selection activeCell="E19" sqref="E19"/>
    </sheetView>
  </sheetViews>
  <sheetFormatPr defaultColWidth="8.81640625" defaultRowHeight="10.9" customHeight="1"/>
  <cols>
    <col min="1" max="1" width="44.08984375" style="206" customWidth="1"/>
    <col min="2" max="2" width="10" style="209" customWidth="1"/>
    <col min="3" max="3" width="10.7265625" style="209" customWidth="1"/>
    <col min="4" max="4" width="9.6328125" style="209" customWidth="1"/>
    <col min="5" max="5" width="10.36328125" style="209" customWidth="1"/>
    <col min="6" max="9" width="9.26953125" style="209" customWidth="1"/>
    <col min="10" max="12" width="9.08984375" customWidth="1"/>
    <col min="13" max="13" width="11.08984375" customWidth="1"/>
    <col min="14" max="14" width="9.08984375" customWidth="1"/>
    <col min="15" max="16384" width="8.81640625" style="206"/>
  </cols>
  <sheetData>
    <row r="1" spans="1:44" ht="18">
      <c r="A1" s="104" t="str">
        <f>Assumptions!D6</f>
        <v>Abercrombie &amp; Fitch Co.</v>
      </c>
      <c r="B1" s="104"/>
      <c r="C1" s="104"/>
      <c r="D1" s="104"/>
      <c r="E1" s="104"/>
      <c r="F1" s="104"/>
      <c r="G1" s="104"/>
      <c r="H1" s="104"/>
      <c r="I1" s="104"/>
    </row>
    <row r="3" spans="1:44" s="187" customFormat="1" ht="15.5">
      <c r="A3" s="210" t="s">
        <v>78</v>
      </c>
      <c r="B3" s="103"/>
      <c r="C3" s="103"/>
      <c r="D3" s="103"/>
      <c r="E3" s="103"/>
      <c r="F3" s="103"/>
      <c r="G3" s="103"/>
      <c r="H3" s="103"/>
      <c r="I3" s="103"/>
      <c r="J3"/>
      <c r="K3"/>
      <c r="L3"/>
      <c r="M3"/>
      <c r="N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</row>
    <row r="4" spans="1:44" s="187" customFormat="1" ht="10.9" customHeight="1">
      <c r="A4" s="156" t="str">
        <f>"(Dollars in "&amp;IF(Assumptions!$D$8=0,"Thousands","Millions")&amp;")"</f>
        <v>(Dollars in Thousands)</v>
      </c>
      <c r="B4" s="103"/>
      <c r="C4" s="103"/>
      <c r="D4" s="103"/>
      <c r="E4" s="103"/>
      <c r="F4" s="103"/>
      <c r="G4" s="103"/>
      <c r="H4" s="103"/>
      <c r="I4" s="103"/>
      <c r="J4"/>
      <c r="K4"/>
      <c r="L4"/>
      <c r="M4"/>
      <c r="N4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</row>
    <row r="5" spans="1:44" s="187" customFormat="1" ht="10.9" customHeight="1">
      <c r="A5" s="156"/>
      <c r="B5" s="103"/>
      <c r="C5" s="103"/>
      <c r="D5" s="103"/>
      <c r="E5" s="122"/>
      <c r="F5" s="103"/>
      <c r="G5" s="103"/>
      <c r="H5" s="103"/>
      <c r="I5" s="103"/>
      <c r="J5"/>
      <c r="K5"/>
      <c r="L5"/>
      <c r="M5"/>
      <c r="N5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</row>
    <row r="6" spans="1:44" s="208" customFormat="1" ht="13">
      <c r="A6" s="211" t="s">
        <v>27</v>
      </c>
      <c r="B6" s="212">
        <f>'Income Statement'!B6</f>
        <v>2014</v>
      </c>
      <c r="C6" s="212">
        <f>'Income Statement'!C6</f>
        <v>2015</v>
      </c>
      <c r="D6" s="212">
        <f>'Income Statement'!D6</f>
        <v>2016</v>
      </c>
      <c r="E6" s="213">
        <f>'Income Statement'!E6</f>
        <v>2017</v>
      </c>
      <c r="F6" s="213">
        <f>'Income Statement'!F6</f>
        <v>2018</v>
      </c>
      <c r="G6" s="213">
        <f>'Income Statement'!G6</f>
        <v>2019</v>
      </c>
      <c r="H6" s="213">
        <f>'Income Statement'!H6</f>
        <v>2020</v>
      </c>
      <c r="I6" s="213">
        <f>'Income Statement'!I6</f>
        <v>2021</v>
      </c>
      <c r="J6"/>
      <c r="K6"/>
      <c r="L6"/>
      <c r="M6"/>
      <c r="N6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267"/>
      <c r="AP6" s="267"/>
      <c r="AQ6" s="267"/>
      <c r="AR6" s="267"/>
    </row>
    <row r="7" spans="1:44" s="208" customFormat="1" ht="10.9" customHeight="1">
      <c r="A7" s="214" t="s">
        <v>28</v>
      </c>
      <c r="B7" s="101"/>
      <c r="C7" s="101"/>
      <c r="D7" s="101"/>
      <c r="E7" s="101"/>
      <c r="F7" s="101"/>
      <c r="G7" s="101"/>
      <c r="H7" s="101"/>
      <c r="I7" s="101"/>
      <c r="J7"/>
      <c r="K7"/>
      <c r="L7"/>
      <c r="M7"/>
      <c r="N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267"/>
      <c r="AJ7" s="267"/>
      <c r="AK7" s="267"/>
      <c r="AL7" s="267"/>
      <c r="AM7" s="267"/>
      <c r="AN7" s="267"/>
      <c r="AO7" s="267"/>
      <c r="AP7" s="267"/>
      <c r="AQ7" s="267"/>
      <c r="AR7" s="267"/>
    </row>
    <row r="8" spans="1:44" s="187" customFormat="1" ht="10.9" customHeight="1">
      <c r="A8" s="215" t="s">
        <v>29</v>
      </c>
      <c r="B8" s="216">
        <v>520708</v>
      </c>
      <c r="C8" s="216">
        <v>588578</v>
      </c>
      <c r="D8" s="216">
        <v>547189</v>
      </c>
      <c r="E8" s="217">
        <f ca="1">SCF!B36</f>
        <v>924432.69222476159</v>
      </c>
      <c r="F8" s="217">
        <f ca="1">SCF!C36</f>
        <v>1034197.0878647664</v>
      </c>
      <c r="G8" s="217">
        <f ca="1">SCF!D36</f>
        <v>1073830.5038018695</v>
      </c>
      <c r="H8" s="217">
        <f ca="1">SCF!E36</f>
        <v>1219037.2659607735</v>
      </c>
      <c r="I8" s="217">
        <f ca="1">SCF!F36</f>
        <v>1304019.014013702</v>
      </c>
      <c r="J8" s="268"/>
      <c r="K8"/>
      <c r="L8"/>
      <c r="M8"/>
      <c r="N8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</row>
    <row r="9" spans="1:44" s="187" customFormat="1" ht="12.5">
      <c r="A9" s="215" t="s">
        <v>79</v>
      </c>
      <c r="B9" s="218">
        <v>52910</v>
      </c>
      <c r="C9" s="218">
        <v>56868</v>
      </c>
      <c r="D9" s="218">
        <v>93384</v>
      </c>
      <c r="E9" s="219">
        <f>'WC Schedule'!F11</f>
        <v>64158.167660498322</v>
      </c>
      <c r="F9" s="219">
        <f>'WC Schedule'!G11</f>
        <v>70029.957256195587</v>
      </c>
      <c r="G9" s="219">
        <f>'WC Schedule'!H11</f>
        <v>76008.676963804784</v>
      </c>
      <c r="H9" s="219">
        <f>'WC Schedule'!I11</f>
        <v>70798.172381146214</v>
      </c>
      <c r="I9" s="219">
        <f>'WC Schedule'!J11</f>
        <v>74042.494666800339</v>
      </c>
      <c r="J9" s="268"/>
      <c r="K9"/>
      <c r="L9"/>
      <c r="M9"/>
      <c r="N9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</row>
    <row r="10" spans="1:44" s="187" customFormat="1" ht="10.9" customHeight="1">
      <c r="A10" s="215" t="s">
        <v>80</v>
      </c>
      <c r="B10" s="218">
        <v>460794</v>
      </c>
      <c r="C10" s="218">
        <v>436701</v>
      </c>
      <c r="D10" s="218">
        <v>399795</v>
      </c>
      <c r="E10" s="219">
        <f>'WC Schedule'!F12</f>
        <v>402280.18972854182</v>
      </c>
      <c r="F10" s="219">
        <f>'WC Schedule'!G12</f>
        <v>400221.39770825783</v>
      </c>
      <c r="G10" s="219">
        <f>'WC Schedule'!H12</f>
        <v>400013.59357798035</v>
      </c>
      <c r="H10" s="219">
        <f>'WC Schedule'!I12</f>
        <v>405087.82562125829</v>
      </c>
      <c r="I10" s="219">
        <f>'WC Schedule'!J12</f>
        <v>411567.65208536462</v>
      </c>
      <c r="J10" s="268"/>
      <c r="K10"/>
      <c r="L10"/>
      <c r="M10"/>
      <c r="N10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</row>
    <row r="11" spans="1:44" s="187" customFormat="1" ht="10.9" customHeight="1">
      <c r="A11" s="215" t="s">
        <v>81</v>
      </c>
      <c r="B11" s="218">
        <v>130560</v>
      </c>
      <c r="C11" s="218">
        <v>96833</v>
      </c>
      <c r="D11" s="218">
        <v>98932</v>
      </c>
      <c r="E11" s="219">
        <f>'WC Schedule'!F13</f>
        <v>101142.140576547</v>
      </c>
      <c r="F11" s="219">
        <f>'WC Schedule'!G13</f>
        <v>96573.3938808573</v>
      </c>
      <c r="G11" s="219">
        <f>'WC Schedule'!H13</f>
        <v>99045.501843230406</v>
      </c>
      <c r="H11" s="219">
        <f>'WC Schedule'!I13</f>
        <v>100242.37003755</v>
      </c>
      <c r="I11" s="219">
        <f>'WC Schedule'!J13</f>
        <v>100926.575871116</v>
      </c>
      <c r="J11" s="268"/>
      <c r="K11"/>
      <c r="L11"/>
      <c r="M11"/>
      <c r="N11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</row>
    <row r="12" spans="1:44" s="187" customFormat="1" ht="10.9" customHeight="1">
      <c r="A12" s="220" t="s">
        <v>82</v>
      </c>
      <c r="B12" s="221">
        <v>1164972</v>
      </c>
      <c r="C12" s="221">
        <v>1178980</v>
      </c>
      <c r="D12" s="221">
        <v>1139300</v>
      </c>
      <c r="E12" s="222">
        <f ca="1">SUM(E8:E11)</f>
        <v>1492013.1901903488</v>
      </c>
      <c r="F12" s="222">
        <f t="shared" ref="F12:I12" ca="1" si="0">SUM(F8:F11)</f>
        <v>1601021.8367100772</v>
      </c>
      <c r="G12" s="222">
        <f t="shared" ca="1" si="0"/>
        <v>1648898.2761868848</v>
      </c>
      <c r="H12" s="222">
        <f t="shared" ca="1" si="0"/>
        <v>1795165.6340007279</v>
      </c>
      <c r="I12" s="222">
        <f t="shared" ca="1" si="0"/>
        <v>1890555.736636983</v>
      </c>
      <c r="J12" s="268"/>
      <c r="K12"/>
      <c r="L12"/>
      <c r="M12"/>
      <c r="N12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</row>
    <row r="13" spans="1:44" s="187" customFormat="1" ht="10.9" customHeight="1">
      <c r="A13" s="220"/>
      <c r="B13" s="223"/>
      <c r="C13" s="223"/>
      <c r="D13" s="223"/>
      <c r="E13" s="224"/>
      <c r="F13" s="219"/>
      <c r="G13" s="219"/>
      <c r="H13" s="219"/>
      <c r="I13" s="219"/>
      <c r="J13" s="268"/>
      <c r="K13"/>
      <c r="L13"/>
      <c r="M13"/>
      <c r="N1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</row>
    <row r="14" spans="1:44" s="187" customFormat="1" ht="10.9" customHeight="1">
      <c r="A14" s="220" t="s">
        <v>35</v>
      </c>
      <c r="B14" s="225"/>
      <c r="C14" s="225"/>
      <c r="D14" s="225"/>
      <c r="E14" s="224"/>
      <c r="F14" s="219"/>
      <c r="G14" s="219"/>
      <c r="H14" s="219"/>
      <c r="I14" s="219"/>
      <c r="J14" s="268"/>
      <c r="K14"/>
      <c r="L14"/>
      <c r="M14"/>
      <c r="N14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</row>
    <row r="15" spans="1:44" s="187" customFormat="1" ht="10.9" customHeight="1">
      <c r="A15" s="215" t="s">
        <v>36</v>
      </c>
      <c r="B15" s="218">
        <v>967001</v>
      </c>
      <c r="C15" s="218">
        <v>894178</v>
      </c>
      <c r="D15" s="218">
        <v>824738</v>
      </c>
      <c r="E15" s="219">
        <f>'Fixed Asset Schedule'!G21</f>
        <v>786490.4</v>
      </c>
      <c r="F15" s="219">
        <f>'Fixed Asset Schedule'!H21</f>
        <v>730417.8</v>
      </c>
      <c r="G15" s="219">
        <f>'Fixed Asset Schedule'!I21</f>
        <v>661111.86666666705</v>
      </c>
      <c r="H15" s="219">
        <f>'Fixed Asset Schedule'!J21</f>
        <v>583572.6</v>
      </c>
      <c r="I15" s="219">
        <f>'Fixed Asset Schedule'!K21</f>
        <v>497800</v>
      </c>
      <c r="J15" s="268"/>
      <c r="K15"/>
      <c r="L15"/>
      <c r="M15"/>
      <c r="N15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</row>
    <row r="16" spans="1:44" s="187" customFormat="1" ht="10.9" customHeight="1">
      <c r="A16" s="215" t="s">
        <v>83</v>
      </c>
      <c r="B16" s="226">
        <v>373194</v>
      </c>
      <c r="C16" s="226">
        <v>359881</v>
      </c>
      <c r="D16" s="226">
        <v>331719</v>
      </c>
      <c r="E16" s="227">
        <f>Assumptions!E93</f>
        <v>207774</v>
      </c>
      <c r="F16" s="227">
        <f>Assumptions!F93</f>
        <v>227554</v>
      </c>
      <c r="G16" s="227">
        <f>Assumptions!G93</f>
        <v>233282</v>
      </c>
      <c r="H16" s="227">
        <f>Assumptions!H93</f>
        <v>222870</v>
      </c>
      <c r="I16" s="227">
        <f>Assumptions!I93</f>
        <v>227902</v>
      </c>
      <c r="J16" s="268"/>
      <c r="K16"/>
      <c r="L16"/>
      <c r="M16"/>
      <c r="N16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</row>
    <row r="17" spans="1:44" s="187" customFormat="1" ht="10.9" customHeight="1">
      <c r="A17" s="220" t="s">
        <v>84</v>
      </c>
      <c r="B17" s="228">
        <v>1340195</v>
      </c>
      <c r="C17" s="228">
        <v>1254059</v>
      </c>
      <c r="D17" s="228">
        <v>1156457</v>
      </c>
      <c r="E17" s="229">
        <f>SUM(E15:E16)</f>
        <v>994264.4</v>
      </c>
      <c r="F17" s="229">
        <f t="shared" ref="F17:I17" si="1">SUM(F15:F16)</f>
        <v>957971.8</v>
      </c>
      <c r="G17" s="229">
        <f t="shared" si="1"/>
        <v>894393.86666666705</v>
      </c>
      <c r="H17" s="229">
        <f t="shared" si="1"/>
        <v>806442.6</v>
      </c>
      <c r="I17" s="229">
        <f t="shared" si="1"/>
        <v>725702</v>
      </c>
      <c r="J17" s="268"/>
      <c r="K17"/>
      <c r="L17"/>
      <c r="M17"/>
      <c r="N17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</row>
    <row r="18" spans="1:44" s="187" customFormat="1" ht="10.9" customHeight="1">
      <c r="A18" s="220"/>
      <c r="B18" s="230"/>
      <c r="C18" s="230"/>
      <c r="D18" s="230"/>
      <c r="E18"/>
      <c r="F18" s="103"/>
      <c r="G18" s="103"/>
      <c r="H18" s="103"/>
      <c r="I18" s="103"/>
      <c r="J18" s="268"/>
      <c r="K18"/>
      <c r="L18"/>
      <c r="M18"/>
      <c r="N18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</row>
    <row r="19" spans="1:44" s="187" customFormat="1" ht="10.9" customHeight="1">
      <c r="A19" s="220" t="s">
        <v>85</v>
      </c>
      <c r="B19" s="231">
        <v>2505167</v>
      </c>
      <c r="C19" s="231">
        <v>2433039</v>
      </c>
      <c r="D19" s="231">
        <v>2295757</v>
      </c>
      <c r="E19" s="232">
        <f ca="1">SUM(E12,E17)</f>
        <v>2486277.5901903487</v>
      </c>
      <c r="F19" s="232">
        <f t="shared" ref="F19:I19" ca="1" si="2">SUM(F12,F17)</f>
        <v>2558993.6367100775</v>
      </c>
      <c r="G19" s="232">
        <f t="shared" ca="1" si="2"/>
        <v>2543292.142853552</v>
      </c>
      <c r="H19" s="232">
        <f t="shared" ca="1" si="2"/>
        <v>2601608.234000728</v>
      </c>
      <c r="I19" s="232">
        <f t="shared" ca="1" si="2"/>
        <v>2616257.7366369832</v>
      </c>
      <c r="J19" s="268"/>
      <c r="K19"/>
      <c r="L19"/>
      <c r="M19"/>
      <c r="N19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</row>
    <row r="20" spans="1:44" s="187" customFormat="1" ht="10.9" customHeight="1">
      <c r="A20" s="220"/>
      <c r="B20" s="233"/>
      <c r="C20" s="233"/>
      <c r="D20" s="233"/>
      <c r="E20"/>
      <c r="F20" s="234"/>
      <c r="G20" s="234"/>
      <c r="H20" s="234"/>
      <c r="I20" s="234"/>
      <c r="J20" s="268"/>
      <c r="K20"/>
      <c r="L20"/>
      <c r="M20"/>
      <c r="N20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</row>
    <row r="21" spans="1:44" s="208" customFormat="1" ht="13">
      <c r="A21" s="211" t="s">
        <v>39</v>
      </c>
      <c r="B21" s="235"/>
      <c r="C21" s="235"/>
      <c r="D21" s="235"/>
      <c r="E21"/>
      <c r="F21" s="236"/>
      <c r="G21" s="236"/>
      <c r="H21" s="236"/>
      <c r="I21" s="236"/>
      <c r="J21" s="268"/>
      <c r="K21"/>
      <c r="L21"/>
      <c r="M21"/>
      <c r="N2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</row>
    <row r="22" spans="1:44" s="187" customFormat="1" ht="10.9" customHeight="1">
      <c r="A22" s="105" t="s">
        <v>40</v>
      </c>
      <c r="B22" s="225"/>
      <c r="C22" s="225"/>
      <c r="D22" s="225"/>
      <c r="E22"/>
      <c r="F22" s="103"/>
      <c r="G22" s="103"/>
      <c r="H22" s="103"/>
      <c r="I22" s="103"/>
      <c r="J22" s="268"/>
      <c r="K22"/>
      <c r="L22"/>
      <c r="M22"/>
      <c r="N2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</row>
    <row r="23" spans="1:44" s="187" customFormat="1" ht="10.9" customHeight="1">
      <c r="A23" s="215" t="s">
        <v>86</v>
      </c>
      <c r="B23" s="218">
        <v>141685</v>
      </c>
      <c r="C23" s="218">
        <v>184175</v>
      </c>
      <c r="D23" s="218">
        <v>187017</v>
      </c>
      <c r="E23" s="227">
        <f>'WC Schedule'!F16</f>
        <v>160110.70843614533</v>
      </c>
      <c r="F23" s="227">
        <f>'WC Schedule'!G16</f>
        <v>171616.8516434897</v>
      </c>
      <c r="G23" s="227">
        <f>'WC Schedule'!H16</f>
        <v>172490.33054224539</v>
      </c>
      <c r="H23" s="227">
        <f>'WC Schedule'!I16</f>
        <v>169846.43187875501</v>
      </c>
      <c r="I23" s="227">
        <f>'WC Schedule'!J16</f>
        <v>175502.52797746164</v>
      </c>
      <c r="J23" s="268"/>
      <c r="K23"/>
      <c r="L23"/>
      <c r="M23"/>
      <c r="N2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</row>
    <row r="24" spans="1:44" s="187" customFormat="1" ht="10.9" customHeight="1">
      <c r="A24" s="215" t="s">
        <v>43</v>
      </c>
      <c r="B24" s="218">
        <v>282736</v>
      </c>
      <c r="C24" s="218">
        <v>321237</v>
      </c>
      <c r="D24" s="218">
        <v>273044</v>
      </c>
      <c r="E24" s="227">
        <f>'WC Schedule'!F17</f>
        <v>273233.93150494102</v>
      </c>
      <c r="F24" s="227">
        <f>'WC Schedule'!G17</f>
        <v>281408.07964111603</v>
      </c>
      <c r="G24" s="227">
        <f>'WC Schedule'!H17</f>
        <v>276360.11633392901</v>
      </c>
      <c r="H24" s="227">
        <f>'WC Schedule'!I17</f>
        <v>280704.363637025</v>
      </c>
      <c r="I24" s="227">
        <f>'WC Schedule'!J17</f>
        <v>286051.14088653901</v>
      </c>
      <c r="J24" s="268"/>
      <c r="K24"/>
      <c r="L24"/>
      <c r="M24"/>
      <c r="N24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</row>
    <row r="25" spans="1:44" s="187" customFormat="1" ht="10.9" customHeight="1">
      <c r="A25" s="215" t="s">
        <v>87</v>
      </c>
      <c r="B25" s="218">
        <v>32804</v>
      </c>
      <c r="C25" s="218">
        <v>5988</v>
      </c>
      <c r="D25" s="218">
        <v>5863</v>
      </c>
      <c r="E25" s="237">
        <f>'WC Schedule'!F19</f>
        <v>13421.8257174916</v>
      </c>
      <c r="F25" s="237">
        <f>'WC Schedule'!G19</f>
        <v>8276.9811668034108</v>
      </c>
      <c r="G25" s="237">
        <f>'WC Schedule'!H19</f>
        <v>9213.5642562388402</v>
      </c>
      <c r="H25" s="237">
        <f>'WC Schedule'!I19</f>
        <v>10443.691275568301</v>
      </c>
      <c r="I25" s="237">
        <f>'WC Schedule'!J19</f>
        <v>9524.4016737831098</v>
      </c>
      <c r="J25" s="268"/>
      <c r="K25"/>
      <c r="L25"/>
      <c r="M25"/>
      <c r="N25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</row>
    <row r="26" spans="1:44" s="187" customFormat="1" ht="10.9" customHeight="1">
      <c r="A26" s="215" t="s">
        <v>45</v>
      </c>
      <c r="B26" s="218">
        <v>26629</v>
      </c>
      <c r="C26" s="218">
        <v>23303</v>
      </c>
      <c r="D26" s="218">
        <v>20076</v>
      </c>
      <c r="E26" s="227">
        <f>'WC Schedule'!F18</f>
        <v>21703.743187003402</v>
      </c>
      <c r="F26" s="227">
        <f>'WC Schedule'!G18</f>
        <v>21130.170836624799</v>
      </c>
      <c r="G26" s="227">
        <f>'WC Schedule'!H18</f>
        <v>21007.566597915498</v>
      </c>
      <c r="H26" s="227">
        <f>'WC Schedule'!I18</f>
        <v>21565.402231192798</v>
      </c>
      <c r="I26" s="227">
        <f>'WC Schedule'!J18</f>
        <v>21731.564256281799</v>
      </c>
      <c r="J26" s="268"/>
      <c r="K26"/>
      <c r="L26"/>
      <c r="M26"/>
      <c r="N26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</row>
    <row r="27" spans="1:44" s="187" customFormat="1" ht="10.9" customHeight="1">
      <c r="A27" s="238" t="s">
        <v>88</v>
      </c>
      <c r="B27" s="239">
        <v>2102</v>
      </c>
      <c r="C27" s="239">
        <v>0</v>
      </c>
      <c r="D27" s="239">
        <v>0</v>
      </c>
      <c r="E27" s="240">
        <f>Assumptions!E101</f>
        <v>0</v>
      </c>
      <c r="F27" s="240">
        <f>Assumptions!F101</f>
        <v>68566</v>
      </c>
      <c r="G27" s="240">
        <f>Assumptions!G101</f>
        <v>0</v>
      </c>
      <c r="H27" s="240">
        <f>Assumptions!H101</f>
        <v>50000</v>
      </c>
      <c r="I27" s="240">
        <f>Assumptions!I101</f>
        <v>0</v>
      </c>
      <c r="J27" s="268"/>
      <c r="K27"/>
      <c r="L27"/>
      <c r="M27" s="269"/>
      <c r="N27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</row>
    <row r="28" spans="1:44" s="187" customFormat="1" ht="10.9" customHeight="1">
      <c r="A28" s="241" t="s">
        <v>89</v>
      </c>
      <c r="B28" s="242">
        <v>485956</v>
      </c>
      <c r="C28" s="242">
        <v>534703</v>
      </c>
      <c r="D28" s="242">
        <v>486000</v>
      </c>
      <c r="E28" s="222">
        <f>SUM(E23:E27)</f>
        <v>468470.20884558139</v>
      </c>
      <c r="F28" s="222">
        <f t="shared" ref="F28:I28" si="3">SUM(F23:F27)</f>
        <v>550998.08328803396</v>
      </c>
      <c r="G28" s="222">
        <f t="shared" si="3"/>
        <v>479071.57773032878</v>
      </c>
      <c r="H28" s="222">
        <f t="shared" si="3"/>
        <v>532559.88902254112</v>
      </c>
      <c r="I28" s="222">
        <f t="shared" si="3"/>
        <v>492809.63479406555</v>
      </c>
      <c r="J28" s="268"/>
      <c r="K28"/>
      <c r="L28"/>
      <c r="M28"/>
      <c r="N28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</row>
    <row r="29" spans="1:44" s="187" customFormat="1" ht="10.9" customHeight="1">
      <c r="A29" s="241"/>
      <c r="B29" s="243"/>
      <c r="C29" s="243"/>
      <c r="D29" s="243"/>
      <c r="E29" s="224"/>
      <c r="F29" s="219"/>
      <c r="G29" s="219"/>
      <c r="H29" s="219"/>
      <c r="I29" s="219"/>
      <c r="J29" s="268"/>
      <c r="K29"/>
      <c r="L29"/>
      <c r="M29"/>
      <c r="N29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</row>
    <row r="30" spans="1:44" s="187" customFormat="1" ht="10.9" customHeight="1">
      <c r="A30" s="244" t="s">
        <v>47</v>
      </c>
      <c r="B30" s="245"/>
      <c r="C30" s="245"/>
      <c r="D30" s="245"/>
      <c r="E30" s="224"/>
      <c r="F30" s="219"/>
      <c r="G30" s="219"/>
      <c r="H30" s="219"/>
      <c r="I30" s="219"/>
      <c r="J30" s="268"/>
      <c r="K30"/>
      <c r="L30"/>
      <c r="M30"/>
      <c r="N30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</row>
    <row r="31" spans="1:44" s="187" customFormat="1" ht="10.9" customHeight="1">
      <c r="A31" s="238" t="s">
        <v>90</v>
      </c>
      <c r="B31" s="246">
        <v>0</v>
      </c>
      <c r="C31" s="246">
        <v>0</v>
      </c>
      <c r="D31" s="246">
        <v>0</v>
      </c>
      <c r="E31" s="247">
        <f ca="1">'Debt &amp; Shareholder Schedule'!E20</f>
        <v>0</v>
      </c>
      <c r="F31" s="247">
        <f ca="1">'Debt &amp; Shareholder Schedule'!F20</f>
        <v>0</v>
      </c>
      <c r="G31" s="247">
        <f ca="1">'Debt &amp; Shareholder Schedule'!G20</f>
        <v>0</v>
      </c>
      <c r="H31" s="247">
        <f ca="1">'Debt &amp; Shareholder Schedule'!H20</f>
        <v>0</v>
      </c>
      <c r="I31" s="247">
        <f ca="1">'Debt &amp; Shareholder Schedule'!I20</f>
        <v>0</v>
      </c>
      <c r="J31" s="268"/>
      <c r="K31"/>
      <c r="L31"/>
      <c r="M31"/>
      <c r="N31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</row>
    <row r="32" spans="1:44" s="187" customFormat="1" ht="10.9" customHeight="1">
      <c r="A32" s="238" t="s">
        <v>91</v>
      </c>
      <c r="B32" s="239">
        <v>291310</v>
      </c>
      <c r="C32" s="239">
        <v>286235</v>
      </c>
      <c r="D32" s="239">
        <v>262992</v>
      </c>
      <c r="E32" s="219">
        <f>'Debt &amp; Shareholder Schedule'!E25-E27</f>
        <v>412992</v>
      </c>
      <c r="F32" s="219">
        <f>'Debt &amp; Shareholder Schedule'!F25-F27</f>
        <v>344426</v>
      </c>
      <c r="G32" s="219">
        <f>'Debt &amp; Shareholder Schedule'!G25-G27</f>
        <v>344426</v>
      </c>
      <c r="H32" s="219">
        <f>'Debt &amp; Shareholder Schedule'!H25-H27</f>
        <v>294426</v>
      </c>
      <c r="I32" s="219">
        <f>'Debt &amp; Shareholder Schedule'!I25-I27</f>
        <v>294426</v>
      </c>
      <c r="J32" s="268"/>
      <c r="K32"/>
      <c r="L32"/>
      <c r="M32"/>
      <c r="N3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</row>
    <row r="33" spans="1:44" s="187" customFormat="1" ht="10.9" customHeight="1">
      <c r="A33" s="238" t="s">
        <v>92</v>
      </c>
      <c r="B33" s="248">
        <v>156914</v>
      </c>
      <c r="C33" s="248">
        <v>136696</v>
      </c>
      <c r="D33" s="248">
        <v>122718</v>
      </c>
      <c r="E33" s="219">
        <f>Assumptions!E105*'Income Statement'!E7</f>
        <v>82336.815000000002</v>
      </c>
      <c r="F33" s="219">
        <f>Assumptions!F105*'Income Statement'!F7</f>
        <v>82336.815000000002</v>
      </c>
      <c r="G33" s="219">
        <f>Assumptions!G105*'Income Statement'!G7</f>
        <v>82748.499075</v>
      </c>
      <c r="H33" s="219">
        <f>Assumptions!H105*'Income Statement'!H7</f>
        <v>83575.984065750003</v>
      </c>
      <c r="I33" s="219">
        <f>Assumptions!I105*'Income Statement'!I7</f>
        <v>84829.623826736206</v>
      </c>
      <c r="J33" s="268"/>
      <c r="K33"/>
      <c r="L33"/>
      <c r="M33"/>
      <c r="N3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</row>
    <row r="34" spans="1:44" s="187" customFormat="1" ht="10.9" customHeight="1">
      <c r="A34" s="238" t="s">
        <v>93</v>
      </c>
      <c r="B34" s="249">
        <v>181286</v>
      </c>
      <c r="C34" s="249">
        <v>179683</v>
      </c>
      <c r="D34" s="249">
        <v>172008</v>
      </c>
      <c r="E34" s="219">
        <f>Assumptions!E106</f>
        <v>203567</v>
      </c>
      <c r="F34" s="219">
        <f>Assumptions!F106</f>
        <v>203567</v>
      </c>
      <c r="G34" s="219">
        <f>Assumptions!G106</f>
        <v>203567</v>
      </c>
      <c r="H34" s="219">
        <f>Assumptions!H106</f>
        <v>203567</v>
      </c>
      <c r="I34" s="219">
        <f>Assumptions!I106</f>
        <v>203567</v>
      </c>
      <c r="J34" s="268"/>
      <c r="K34"/>
      <c r="L34"/>
      <c r="M34"/>
      <c r="N34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</row>
    <row r="35" spans="1:44" s="187" customFormat="1" ht="10.9" customHeight="1">
      <c r="A35" s="241" t="s">
        <v>94</v>
      </c>
      <c r="B35" s="250">
        <v>629510</v>
      </c>
      <c r="C35" s="250">
        <v>602614</v>
      </c>
      <c r="D35" s="250">
        <v>557718</v>
      </c>
      <c r="E35" s="251">
        <f ca="1">SUM(E31:E34)</f>
        <v>698895.81499999994</v>
      </c>
      <c r="F35" s="251">
        <f t="shared" ref="F35:I35" ca="1" si="4">SUM(F31:F34)</f>
        <v>630329.81499999994</v>
      </c>
      <c r="G35" s="251">
        <f t="shared" ca="1" si="4"/>
        <v>630741.49907499994</v>
      </c>
      <c r="H35" s="251">
        <f t="shared" ca="1" si="4"/>
        <v>581568.98406575003</v>
      </c>
      <c r="I35" s="251">
        <f t="shared" ca="1" si="4"/>
        <v>582822.62382673624</v>
      </c>
      <c r="J35" s="268"/>
      <c r="K35"/>
      <c r="L35"/>
      <c r="M35"/>
      <c r="N35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</row>
    <row r="36" spans="1:44" s="187" customFormat="1" ht="10.9" customHeight="1">
      <c r="A36" s="241"/>
      <c r="B36" s="252"/>
      <c r="C36" s="252"/>
      <c r="D36" s="252"/>
      <c r="E36" s="224"/>
      <c r="F36" s="253"/>
      <c r="G36" s="253"/>
      <c r="H36" s="253"/>
      <c r="I36" s="253"/>
      <c r="J36" s="268"/>
      <c r="K36"/>
      <c r="L36"/>
      <c r="M36"/>
      <c r="N36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</row>
    <row r="37" spans="1:44" s="187" customFormat="1" ht="10.9" customHeight="1">
      <c r="A37" s="254" t="s">
        <v>95</v>
      </c>
      <c r="B37" s="255">
        <v>1115466</v>
      </c>
      <c r="C37" s="255">
        <v>1137317</v>
      </c>
      <c r="D37" s="255">
        <v>1043718</v>
      </c>
      <c r="E37" s="256">
        <f ca="1">SUM(E28,E35)</f>
        <v>1167366.0238455813</v>
      </c>
      <c r="F37" s="256">
        <f t="shared" ref="F37:I37" ca="1" si="5">SUM(F28,F35)</f>
        <v>1181327.8982880339</v>
      </c>
      <c r="G37" s="256">
        <f t="shared" ca="1" si="5"/>
        <v>1109813.0768053287</v>
      </c>
      <c r="H37" s="256">
        <f t="shared" ca="1" si="5"/>
        <v>1114128.8730882911</v>
      </c>
      <c r="I37" s="256">
        <f t="shared" ca="1" si="5"/>
        <v>1075632.2586208018</v>
      </c>
      <c r="J37" s="268"/>
      <c r="K37"/>
      <c r="L37"/>
      <c r="M37" s="270"/>
      <c r="N37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</row>
    <row r="38" spans="1:44" s="187" customFormat="1" ht="10.9" customHeight="1">
      <c r="A38" s="244"/>
      <c r="B38" s="248"/>
      <c r="C38" s="248"/>
      <c r="D38" s="248"/>
      <c r="E38" s="224"/>
      <c r="F38" s="219"/>
      <c r="G38" s="219"/>
      <c r="H38" s="219"/>
      <c r="I38" s="219"/>
      <c r="J38" s="268"/>
      <c r="K38"/>
      <c r="L38"/>
      <c r="M38" s="270"/>
      <c r="N38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</row>
    <row r="39" spans="1:44" s="187" customFormat="1" ht="10.9" customHeight="1">
      <c r="A39" s="257" t="s">
        <v>96</v>
      </c>
      <c r="B39" s="258">
        <v>1389701</v>
      </c>
      <c r="C39" s="258">
        <v>1295722</v>
      </c>
      <c r="D39" s="258">
        <v>1252039</v>
      </c>
      <c r="E39" s="259">
        <f ca="1">'Debt &amp; Shareholder Schedule'!E53</f>
        <v>1318911.5663447671</v>
      </c>
      <c r="F39" s="259">
        <f ca="1">'Debt &amp; Shareholder Schedule'!F53</f>
        <v>1377665.7384220432</v>
      </c>
      <c r="G39" s="259">
        <f ca="1">'Debt &amp; Shareholder Schedule'!G53</f>
        <v>1433479.0660482235</v>
      </c>
      <c r="H39" s="259">
        <f ca="1">'Debt &amp; Shareholder Schedule'!H53</f>
        <v>1487479.3609124378</v>
      </c>
      <c r="I39" s="259">
        <f ca="1">'Debt &amp; Shareholder Schedule'!I53</f>
        <v>1540625.4780161807</v>
      </c>
      <c r="J39" s="268"/>
      <c r="K39"/>
      <c r="L39"/>
      <c r="M39"/>
      <c r="N39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</row>
    <row r="40" spans="1:44" ht="10.9" customHeight="1">
      <c r="A40" s="260"/>
      <c r="B40" s="261"/>
      <c r="C40" s="261"/>
      <c r="D40" s="261"/>
      <c r="E40"/>
      <c r="F40" s="103"/>
      <c r="G40" s="103"/>
      <c r="H40" s="103"/>
      <c r="I40" s="103"/>
      <c r="J40" s="268"/>
    </row>
    <row r="41" spans="1:44" ht="10.9" customHeight="1">
      <c r="A41" s="262" t="s">
        <v>97</v>
      </c>
      <c r="B41" s="263">
        <f t="shared" ref="B41" si="6">B37+B39</f>
        <v>2505167</v>
      </c>
      <c r="C41" s="263">
        <v>2433039</v>
      </c>
      <c r="D41" s="263">
        <v>2295757</v>
      </c>
      <c r="E41" s="232">
        <f ca="1">SUM(E37,E39)</f>
        <v>2486277.5901903482</v>
      </c>
      <c r="F41" s="232">
        <f t="shared" ref="F41:I41" ca="1" si="7">SUM(F37,F39)</f>
        <v>2558993.6367100771</v>
      </c>
      <c r="G41" s="232">
        <f t="shared" ca="1" si="7"/>
        <v>2543292.1428535525</v>
      </c>
      <c r="H41" s="232">
        <f t="shared" ca="1" si="7"/>
        <v>2601608.2340007289</v>
      </c>
      <c r="I41" s="232">
        <f t="shared" ca="1" si="7"/>
        <v>2616257.7366369823</v>
      </c>
      <c r="J41" s="268"/>
    </row>
    <row r="42" spans="1:44" ht="10.9" customHeight="1">
      <c r="D42" s="264"/>
    </row>
    <row r="43" spans="1:44" ht="13">
      <c r="A43" s="265" t="s">
        <v>98</v>
      </c>
      <c r="B43" s="266">
        <f t="shared" ref="B43:I43" si="8">B19-B41</f>
        <v>0</v>
      </c>
      <c r="C43" s="266">
        <f t="shared" si="8"/>
        <v>0</v>
      </c>
      <c r="D43" s="266">
        <f t="shared" si="8"/>
        <v>0</v>
      </c>
      <c r="E43" s="266">
        <f t="shared" ca="1" si="8"/>
        <v>0</v>
      </c>
      <c r="F43" s="266">
        <f t="shared" ca="1" si="8"/>
        <v>0</v>
      </c>
      <c r="G43" s="266">
        <f t="shared" ca="1" si="8"/>
        <v>0</v>
      </c>
      <c r="H43" s="266">
        <f t="shared" ca="1" si="8"/>
        <v>0</v>
      </c>
      <c r="I43" s="266">
        <f t="shared" ca="1" si="8"/>
        <v>0</v>
      </c>
    </row>
    <row r="44" spans="1:44" ht="10.9" customHeight="1">
      <c r="M44" s="270"/>
    </row>
  </sheetData>
  <sheetProtection selectLockedCells="1"/>
  <phoneticPr fontId="45" type="noConversion"/>
  <pageMargins left="0.75" right="0.75" top="1" bottom="1" header="0.5" footer="0.5"/>
  <pageSetup scale="76" orientation="portrait"/>
  <headerFooter alignWithMargins="0">
    <oddHeader>&amp;C&amp;F
Page 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showGridLines="0" zoomScale="93" zoomScaleNormal="93" workbookViewId="0">
      <selection activeCell="A19" sqref="A19"/>
    </sheetView>
  </sheetViews>
  <sheetFormatPr defaultColWidth="9" defaultRowHeight="12.5"/>
  <cols>
    <col min="1" max="1" width="53.81640625" customWidth="1"/>
  </cols>
  <sheetData>
    <row r="1" spans="1:7" ht="18">
      <c r="A1" s="104" t="str">
        <f>Assumptions!D6</f>
        <v>Abercrombie &amp; Fitch Co.</v>
      </c>
      <c r="B1" s="104"/>
      <c r="C1" s="104"/>
      <c r="D1" s="104"/>
      <c r="E1" s="104"/>
      <c r="F1" s="104"/>
    </row>
    <row r="3" spans="1:7" ht="15.5">
      <c r="A3" s="201" t="s">
        <v>99</v>
      </c>
    </row>
    <row r="4" spans="1:7">
      <c r="A4" s="156" t="str">
        <f>"(Dollars in "&amp;IF(Assumptions!$D$8=0,"Thousands","Millions")&amp;")"</f>
        <v>(Dollars in Thousands)</v>
      </c>
    </row>
    <row r="5" spans="1:7">
      <c r="A5" s="202"/>
    </row>
    <row r="6" spans="1:7" ht="13">
      <c r="A6" s="203"/>
      <c r="B6" s="204">
        <f>'Income Statement'!E6</f>
        <v>2017</v>
      </c>
      <c r="C6" s="204">
        <f>'Income Statement'!F6</f>
        <v>2018</v>
      </c>
      <c r="D6" s="204">
        <f>'Income Statement'!G6</f>
        <v>2019</v>
      </c>
      <c r="E6" s="204">
        <f>'Income Statement'!H6</f>
        <v>2020</v>
      </c>
      <c r="F6" s="204">
        <f>'Income Statement'!I6</f>
        <v>2021</v>
      </c>
    </row>
    <row r="7" spans="1:7">
      <c r="A7" s="205" t="s">
        <v>100</v>
      </c>
    </row>
    <row r="8" spans="1:7">
      <c r="A8" s="4" t="s">
        <v>101</v>
      </c>
      <c r="B8" s="118">
        <f ca="1">'Income Statement'!E21</f>
        <v>72379.718867277159</v>
      </c>
      <c r="C8" s="118">
        <f ca="1">'Income Statement'!F21</f>
        <v>63592.75095422809</v>
      </c>
      <c r="D8" s="118">
        <f ca="1">'Income Statement'!G21</f>
        <v>60409.71931304218</v>
      </c>
      <c r="E8" s="118">
        <f ca="1">'Income Statement'!H21</f>
        <v>58447.377970679023</v>
      </c>
      <c r="F8" s="118">
        <f ca="1">'Income Statement'!I21</f>
        <v>57522.85615934532</v>
      </c>
    </row>
    <row r="9" spans="1:7">
      <c r="A9" s="4" t="s">
        <v>102</v>
      </c>
      <c r="B9" s="118">
        <f ca="1">-'Income Statement'!E20</f>
        <v>6293.888597154536</v>
      </c>
      <c r="C9" s="118">
        <f ca="1">-'Income Statement'!F20</f>
        <v>5529.8044308024428</v>
      </c>
      <c r="D9" s="118">
        <f ca="1">-'Income Statement'!G20</f>
        <v>5253.0190706993199</v>
      </c>
      <c r="E9" s="118">
        <f ca="1">-'Income Statement'!H20</f>
        <v>5082.3806931025238</v>
      </c>
      <c r="F9" s="118">
        <f ca="1">-'Income Statement'!I20</f>
        <v>5001.987492116984</v>
      </c>
    </row>
    <row r="10" spans="1:7">
      <c r="A10" s="4" t="s">
        <v>103</v>
      </c>
      <c r="B10" s="118">
        <f>'Fixed Asset Schedule'!G13</f>
        <v>178247.6</v>
      </c>
      <c r="C10" s="118">
        <f>'Fixed Asset Schedule'!H13</f>
        <v>191072.6</v>
      </c>
      <c r="D10" s="118">
        <f>'Fixed Asset Schedule'!I13</f>
        <v>199305.933333333</v>
      </c>
      <c r="E10" s="118">
        <f>'Fixed Asset Schedule'!J13</f>
        <v>207539.26666666701</v>
      </c>
      <c r="F10" s="118">
        <f>'Fixed Asset Schedule'!K13</f>
        <v>215772.6</v>
      </c>
      <c r="G10" s="206"/>
    </row>
    <row r="11" spans="1:7">
      <c r="A11" s="4" t="s">
        <v>104</v>
      </c>
      <c r="B11" s="118">
        <f>-('Balance Sheet'!E9-'Balance Sheet'!D9)</f>
        <v>29225.832339501678</v>
      </c>
      <c r="C11" s="118">
        <f>-('Balance Sheet'!F9-'Balance Sheet'!E9)</f>
        <v>-5871.7895956972643</v>
      </c>
      <c r="D11" s="118">
        <f>-('Balance Sheet'!G9-'Balance Sheet'!F9)</f>
        <v>-5978.7197076091979</v>
      </c>
      <c r="E11" s="118">
        <f>-('Balance Sheet'!H9-'Balance Sheet'!G9)</f>
        <v>5210.5045826585701</v>
      </c>
      <c r="F11" s="118">
        <f>-('Balance Sheet'!I9-'Balance Sheet'!H9)</f>
        <v>-3244.3222856541252</v>
      </c>
      <c r="G11" s="206"/>
    </row>
    <row r="12" spans="1:7">
      <c r="A12" s="4" t="s">
        <v>105</v>
      </c>
      <c r="B12" s="118">
        <f>-('Balance Sheet'!E10-'Balance Sheet'!D10)</f>
        <v>-2485.1897285418236</v>
      </c>
      <c r="C12" s="118">
        <f>-('Balance Sheet'!F10-'Balance Sheet'!E10)</f>
        <v>2058.7920202839887</v>
      </c>
      <c r="D12" s="118">
        <f>-('Balance Sheet'!G10-'Balance Sheet'!F10)</f>
        <v>207.80413027748</v>
      </c>
      <c r="E12" s="118">
        <f>-('Balance Sheet'!H10-'Balance Sheet'!G10)</f>
        <v>-5074.2320432779379</v>
      </c>
      <c r="F12" s="118">
        <f>-('Balance Sheet'!I10-'Balance Sheet'!H10)</f>
        <v>-6479.8264641063288</v>
      </c>
      <c r="G12" s="206"/>
    </row>
    <row r="13" spans="1:7">
      <c r="A13" s="4" t="s">
        <v>106</v>
      </c>
      <c r="B13" s="118">
        <f>-('Balance Sheet'!E11-'Balance Sheet'!D11)</f>
        <v>-2210.1405765470699</v>
      </c>
      <c r="C13" s="118">
        <f>-('Balance Sheet'!F11-'Balance Sheet'!E11)</f>
        <v>4568.7466956897797</v>
      </c>
      <c r="D13" s="118">
        <f>-('Balance Sheet'!G11-'Balance Sheet'!F11)</f>
        <v>-2472.1079623731598</v>
      </c>
      <c r="E13" s="118">
        <f>-('Balance Sheet'!H11-'Balance Sheet'!G11)</f>
        <v>-1196.8681943198801</v>
      </c>
      <c r="F13" s="118">
        <f>-('Balance Sheet'!I11-'Balance Sheet'!H11)</f>
        <v>-684.20583356529801</v>
      </c>
      <c r="G13" s="206"/>
    </row>
    <row r="14" spans="1:7">
      <c r="A14" s="4" t="s">
        <v>107</v>
      </c>
      <c r="B14" s="118">
        <f>'Balance Sheet'!E23-'Balance Sheet'!D23</f>
        <v>-26906.291563854669</v>
      </c>
      <c r="C14" s="118">
        <f>'Balance Sheet'!F23-'Balance Sheet'!E23</f>
        <v>11506.143207344372</v>
      </c>
      <c r="D14" s="118">
        <f>'Balance Sheet'!G23-'Balance Sheet'!F23</f>
        <v>873.47889875568217</v>
      </c>
      <c r="E14" s="118">
        <f>'Balance Sheet'!H23-'Balance Sheet'!G23</f>
        <v>-2643.8986634903704</v>
      </c>
      <c r="F14" s="118">
        <f>'Balance Sheet'!I23-'Balance Sheet'!H23</f>
        <v>5656.096098706621</v>
      </c>
      <c r="G14" s="206"/>
    </row>
    <row r="15" spans="1:7">
      <c r="A15" s="4" t="s">
        <v>108</v>
      </c>
      <c r="B15" s="118">
        <f>'Balance Sheet'!E24-'Balance Sheet'!D24</f>
        <v>189.93150494148699</v>
      </c>
      <c r="C15" s="118">
        <f>'Balance Sheet'!F24-'Balance Sheet'!E24</f>
        <v>8174.1481361746601</v>
      </c>
      <c r="D15" s="118">
        <f>'Balance Sheet'!G24-'Balance Sheet'!F24</f>
        <v>-5047.9633071869002</v>
      </c>
      <c r="E15" s="118">
        <f>'Balance Sheet'!H24-'Balance Sheet'!G24</f>
        <v>4344.2473030954698</v>
      </c>
      <c r="F15" s="118">
        <f>'Balance Sheet'!I24-'Balance Sheet'!H24</f>
        <v>5346.7772495146501</v>
      </c>
      <c r="G15" s="206"/>
    </row>
    <row r="16" spans="1:7">
      <c r="A16" s="4" t="s">
        <v>109</v>
      </c>
      <c r="B16" s="118">
        <f>'Balance Sheet'!E25-'Balance Sheet'!D25</f>
        <v>7558.8257174916398</v>
      </c>
      <c r="C16" s="118">
        <f>'Balance Sheet'!F25-'Balance Sheet'!E25</f>
        <v>-5144.8445506882299</v>
      </c>
      <c r="D16" s="118">
        <f>'Balance Sheet'!G25-'Balance Sheet'!F25</f>
        <v>936.58308943542897</v>
      </c>
      <c r="E16" s="118">
        <f>'Balance Sheet'!H25-'Balance Sheet'!G25</f>
        <v>1230.1270193294599</v>
      </c>
      <c r="F16" s="118">
        <f>'Balance Sheet'!I25-'Balance Sheet'!H25</f>
        <v>-919.28960178519401</v>
      </c>
      <c r="G16" s="206"/>
    </row>
    <row r="17" spans="1:7">
      <c r="A17" s="4" t="s">
        <v>110</v>
      </c>
      <c r="B17" s="174">
        <f>'Balance Sheet'!E26-'Balance Sheet'!D26</f>
        <v>1627.7431870034</v>
      </c>
      <c r="C17" s="174">
        <f>'Balance Sheet'!F26-'Balance Sheet'!E26</f>
        <v>-573.57235037857401</v>
      </c>
      <c r="D17" s="174">
        <f>'Balance Sheet'!G26-'Balance Sheet'!F26</f>
        <v>-122.604238709369</v>
      </c>
      <c r="E17" s="174">
        <f>'Balance Sheet'!H26-'Balance Sheet'!G26</f>
        <v>557.83563327735499</v>
      </c>
      <c r="F17" s="174">
        <f>'Balance Sheet'!I26-'Balance Sheet'!H26</f>
        <v>166.16202508901901</v>
      </c>
      <c r="G17" s="206"/>
    </row>
    <row r="18" spans="1:7">
      <c r="A18" s="93" t="s">
        <v>111</v>
      </c>
      <c r="B18" s="123">
        <f ca="1">SUM(B8:B17)</f>
        <v>263921.91834442632</v>
      </c>
      <c r="C18" s="123">
        <f t="shared" ref="C18:F18" ca="1" si="0">SUM(C8:C17)</f>
        <v>274912.7789477593</v>
      </c>
      <c r="D18" s="123">
        <f t="shared" ca="1" si="0"/>
        <v>253365.1426196644</v>
      </c>
      <c r="E18" s="123">
        <f t="shared" ca="1" si="0"/>
        <v>273496.74096772127</v>
      </c>
      <c r="F18" s="123">
        <f t="shared" ca="1" si="0"/>
        <v>278138.83483966172</v>
      </c>
      <c r="G18" s="206"/>
    </row>
    <row r="19" spans="1:7">
      <c r="A19" s="4"/>
      <c r="B19" s="118"/>
      <c r="C19" s="118"/>
      <c r="D19" s="118"/>
      <c r="E19" s="118"/>
      <c r="F19" s="118"/>
      <c r="G19" s="206"/>
    </row>
    <row r="20" spans="1:7">
      <c r="A20" s="93" t="s">
        <v>112</v>
      </c>
      <c r="B20" s="118"/>
      <c r="C20" s="118"/>
      <c r="D20" s="118"/>
      <c r="E20" s="118"/>
      <c r="F20" s="118"/>
      <c r="G20" s="206"/>
    </row>
    <row r="21" spans="1:7">
      <c r="A21" s="4" t="s">
        <v>113</v>
      </c>
      <c r="B21" s="118">
        <f>-'Fixed Asset Schedule'!G19</f>
        <v>-140000</v>
      </c>
      <c r="C21" s="118">
        <f>-'Fixed Asset Schedule'!H19</f>
        <v>-135000</v>
      </c>
      <c r="D21" s="118">
        <f>-'Fixed Asset Schedule'!I19</f>
        <v>-130000</v>
      </c>
      <c r="E21" s="118">
        <f>-'Fixed Asset Schedule'!J19</f>
        <v>-130000</v>
      </c>
      <c r="F21" s="118">
        <f>-'Fixed Asset Schedule'!K19</f>
        <v>-130000</v>
      </c>
      <c r="G21" s="206"/>
    </row>
    <row r="22" spans="1:7">
      <c r="A22" s="4" t="s">
        <v>114</v>
      </c>
      <c r="B22" s="174">
        <f>-('Balance Sheet'!E16-'Balance Sheet'!D16)</f>
        <v>123945</v>
      </c>
      <c r="C22" s="174">
        <f>-('Balance Sheet'!F16-'Balance Sheet'!E16)</f>
        <v>-19780</v>
      </c>
      <c r="D22" s="174">
        <f>-('Balance Sheet'!G16-'Balance Sheet'!F16)</f>
        <v>-5728</v>
      </c>
      <c r="E22" s="174">
        <f>-('Balance Sheet'!H16-'Balance Sheet'!G16)</f>
        <v>10412</v>
      </c>
      <c r="F22" s="174">
        <f>-('Balance Sheet'!I16-'Balance Sheet'!H16)</f>
        <v>-5032</v>
      </c>
      <c r="G22" s="206"/>
    </row>
    <row r="23" spans="1:7">
      <c r="A23" s="93" t="s">
        <v>111</v>
      </c>
      <c r="B23" s="123">
        <f>SUM(B21:B22)</f>
        <v>-16055</v>
      </c>
      <c r="C23" s="123">
        <f t="shared" ref="C23:F23" si="1">SUM(C21:C22)</f>
        <v>-154780</v>
      </c>
      <c r="D23" s="123">
        <f t="shared" si="1"/>
        <v>-135728</v>
      </c>
      <c r="E23" s="123">
        <f t="shared" si="1"/>
        <v>-119588</v>
      </c>
      <c r="F23" s="123">
        <f t="shared" si="1"/>
        <v>-135032</v>
      </c>
      <c r="G23" s="206"/>
    </row>
    <row r="24" spans="1:7">
      <c r="A24" s="4"/>
      <c r="B24" s="4"/>
      <c r="C24" s="4"/>
      <c r="D24" s="4"/>
      <c r="E24" s="118"/>
      <c r="F24" s="118"/>
      <c r="G24" s="206"/>
    </row>
    <row r="25" spans="1:7">
      <c r="A25" s="93" t="s">
        <v>115</v>
      </c>
      <c r="B25" s="4"/>
      <c r="C25" s="4"/>
      <c r="D25" s="4"/>
      <c r="E25" s="118"/>
      <c r="F25" s="118"/>
      <c r="G25" s="206"/>
    </row>
    <row r="26" spans="1:7">
      <c r="A26" s="4" t="s">
        <v>116</v>
      </c>
      <c r="B26" s="207">
        <f>'Debt &amp; Shareholder Schedule'!E18-'Debt &amp; Shareholder Schedule'!D20</f>
        <v>0</v>
      </c>
      <c r="C26" s="207">
        <f ca="1">'Debt &amp; Shareholder Schedule'!F18-'Debt &amp; Shareholder Schedule'!E20</f>
        <v>0</v>
      </c>
      <c r="D26" s="207">
        <f ca="1">'Debt &amp; Shareholder Schedule'!G18-'Debt &amp; Shareholder Schedule'!F20</f>
        <v>0</v>
      </c>
      <c r="E26" s="207">
        <f ca="1">'Debt &amp; Shareholder Schedule'!H18-'Debt &amp; Shareholder Schedule'!G20</f>
        <v>0</v>
      </c>
      <c r="F26" s="207">
        <f ca="1">'Debt &amp; Shareholder Schedule'!I18-'Debt &amp; Shareholder Schedule'!H20</f>
        <v>0</v>
      </c>
      <c r="G26" s="206"/>
    </row>
    <row r="27" spans="1:7">
      <c r="A27" s="4" t="s">
        <v>117</v>
      </c>
      <c r="B27" s="207">
        <f ca="1">'Debt &amp; Shareholder Schedule'!E7</f>
        <v>-11801.041119664755</v>
      </c>
      <c r="C27" s="207">
        <f ca="1">'Debt &amp; Shareholder Schedule'!F7</f>
        <v>-10368.383307754579</v>
      </c>
      <c r="D27" s="207">
        <f ca="1">'Debt &amp; Shareholder Schedule'!G7</f>
        <v>-9849.4107575612234</v>
      </c>
      <c r="E27" s="207">
        <f ca="1">'Debt &amp; Shareholder Schedule'!H7</f>
        <v>-9529.463799567231</v>
      </c>
      <c r="F27" s="207">
        <f ca="1">'Debt &amp; Shareholder Schedule'!I7</f>
        <v>-9378.726547719345</v>
      </c>
      <c r="G27" s="206"/>
    </row>
    <row r="28" spans="1:7">
      <c r="A28" s="4" t="s">
        <v>118</v>
      </c>
      <c r="B28" s="207">
        <f>'Debt &amp; Shareholder Schedule'!E6</f>
        <v>0</v>
      </c>
      <c r="C28" s="207">
        <f>'Debt &amp; Shareholder Schedule'!F6</f>
        <v>0</v>
      </c>
      <c r="D28" s="207">
        <f>'Debt &amp; Shareholder Schedule'!G6</f>
        <v>0</v>
      </c>
      <c r="E28" s="207">
        <f>'Debt &amp; Shareholder Schedule'!H6</f>
        <v>0</v>
      </c>
      <c r="F28" s="207">
        <f>'Debt &amp; Shareholder Schedule'!I6</f>
        <v>0</v>
      </c>
      <c r="G28" s="206"/>
    </row>
    <row r="29" spans="1:7">
      <c r="A29" s="4" t="s">
        <v>119</v>
      </c>
      <c r="B29" s="207">
        <f>'Debt &amp; Shareholder Schedule'!E25-'Debt &amp; Shareholder Schedule'!D25</f>
        <v>150000</v>
      </c>
      <c r="C29" s="207">
        <f>'Debt &amp; Shareholder Schedule'!F25-'Debt &amp; Shareholder Schedule'!E25</f>
        <v>0</v>
      </c>
      <c r="D29" s="207">
        <f>'Debt &amp; Shareholder Schedule'!G25-'Debt &amp; Shareholder Schedule'!F25</f>
        <v>-68566</v>
      </c>
      <c r="E29" s="207">
        <f>'Debt &amp; Shareholder Schedule'!H25-'Debt &amp; Shareholder Schedule'!G25</f>
        <v>0</v>
      </c>
      <c r="F29" s="207">
        <f>'Debt &amp; Shareholder Schedule'!I25-'Debt &amp; Shareholder Schedule'!H25</f>
        <v>-50000</v>
      </c>
      <c r="G29" s="206"/>
    </row>
    <row r="30" spans="1:7">
      <c r="A30" s="4" t="s">
        <v>120</v>
      </c>
      <c r="B30" s="118">
        <f>'Balance Sheet'!E33-'Balance Sheet'!D33</f>
        <v>-40381.184999999998</v>
      </c>
      <c r="C30" s="118">
        <f>'Balance Sheet'!F33-'Balance Sheet'!E33</f>
        <v>0</v>
      </c>
      <c r="D30" s="118">
        <f>'Balance Sheet'!G33-'Balance Sheet'!F33</f>
        <v>411.68407499999699</v>
      </c>
      <c r="E30" s="118">
        <f>'Balance Sheet'!H33-'Balance Sheet'!G33</f>
        <v>827.48499074998801</v>
      </c>
      <c r="F30" s="118">
        <f>'Balance Sheet'!I33-'Balance Sheet'!H33</f>
        <v>1253.6397609862499</v>
      </c>
      <c r="G30" s="206"/>
    </row>
    <row r="31" spans="1:7">
      <c r="A31" s="4" t="s">
        <v>121</v>
      </c>
      <c r="B31" s="174">
        <f>'Balance Sheet'!E34-'Balance Sheet'!D34</f>
        <v>31559</v>
      </c>
      <c r="C31" s="174">
        <f>'Balance Sheet'!F34-'Balance Sheet'!E34</f>
        <v>0</v>
      </c>
      <c r="D31" s="174">
        <f>'Balance Sheet'!G34-'Balance Sheet'!F34</f>
        <v>0</v>
      </c>
      <c r="E31" s="174">
        <f>'Balance Sheet'!H34-'Balance Sheet'!G34</f>
        <v>0</v>
      </c>
      <c r="F31" s="174">
        <f>'Balance Sheet'!I34-'Balance Sheet'!H34</f>
        <v>0</v>
      </c>
      <c r="G31" s="206"/>
    </row>
    <row r="32" spans="1:7">
      <c r="A32" s="93" t="s">
        <v>111</v>
      </c>
      <c r="B32" s="123">
        <f ca="1">SUM(B26:B31)</f>
        <v>129376.77388033524</v>
      </c>
      <c r="C32" s="123">
        <f t="shared" ref="C32:F32" ca="1" si="2">SUM(C26:C31)</f>
        <v>-10368.383307754579</v>
      </c>
      <c r="D32" s="123">
        <f t="shared" ca="1" si="2"/>
        <v>-78003.726682561231</v>
      </c>
      <c r="E32" s="123">
        <f t="shared" ca="1" si="2"/>
        <v>-8701.9788088172427</v>
      </c>
      <c r="F32" s="123">
        <f t="shared" ca="1" si="2"/>
        <v>-58125.086786733096</v>
      </c>
      <c r="G32" s="206"/>
    </row>
    <row r="33" spans="1:7">
      <c r="A33" s="4"/>
      <c r="B33" s="118"/>
      <c r="C33" s="118"/>
      <c r="D33" s="118"/>
      <c r="E33" s="118"/>
      <c r="F33" s="118"/>
      <c r="G33" s="206"/>
    </row>
    <row r="34" spans="1:7">
      <c r="A34" s="4" t="s">
        <v>122</v>
      </c>
      <c r="B34" s="118">
        <f ca="1">B18+B23+B32</f>
        <v>377243.69222476159</v>
      </c>
      <c r="C34" s="118">
        <f t="shared" ref="C34:F34" ca="1" si="3">C18+C23+C32</f>
        <v>109764.39564000472</v>
      </c>
      <c r="D34" s="118">
        <f t="shared" ca="1" si="3"/>
        <v>39633.415937103171</v>
      </c>
      <c r="E34" s="118">
        <f t="shared" ca="1" si="3"/>
        <v>145206.76215890402</v>
      </c>
      <c r="F34" s="118">
        <f t="shared" ca="1" si="3"/>
        <v>84981.748052928626</v>
      </c>
      <c r="G34" s="206"/>
    </row>
    <row r="35" spans="1:7">
      <c r="A35" s="4" t="s">
        <v>123</v>
      </c>
      <c r="B35" s="118">
        <f>'Balance Sheet'!D8</f>
        <v>547189</v>
      </c>
      <c r="C35" s="118">
        <f ca="1">B36</f>
        <v>924432.69222476159</v>
      </c>
      <c r="D35" s="118">
        <f t="shared" ref="D35:F35" ca="1" si="4">C36</f>
        <v>1034197.0878647664</v>
      </c>
      <c r="E35" s="118">
        <f t="shared" ca="1" si="4"/>
        <v>1073830.5038018695</v>
      </c>
      <c r="F35" s="118">
        <f t="shared" ca="1" si="4"/>
        <v>1219037.2659607735</v>
      </c>
      <c r="G35" s="206"/>
    </row>
    <row r="36" spans="1:7">
      <c r="A36" s="4" t="s">
        <v>124</v>
      </c>
      <c r="B36" s="123">
        <f ca="1">B34+B35</f>
        <v>924432.69222476159</v>
      </c>
      <c r="C36" s="123">
        <f t="shared" ref="C36:F36" ca="1" si="5">C34+C35</f>
        <v>1034197.0878647664</v>
      </c>
      <c r="D36" s="123">
        <f t="shared" ca="1" si="5"/>
        <v>1073830.5038018695</v>
      </c>
      <c r="E36" s="123">
        <f t="shared" ca="1" si="5"/>
        <v>1219037.2659607735</v>
      </c>
      <c r="F36" s="123">
        <f t="shared" ca="1" si="5"/>
        <v>1304019.014013702</v>
      </c>
      <c r="G36" s="206"/>
    </row>
    <row r="37" spans="1:7">
      <c r="G37" s="206"/>
    </row>
    <row r="38" spans="1:7">
      <c r="G38" s="206"/>
    </row>
    <row r="39" spans="1:7">
      <c r="G39" s="206"/>
    </row>
    <row r="40" spans="1:7">
      <c r="G40" s="206"/>
    </row>
    <row r="41" spans="1:7">
      <c r="G41" s="206"/>
    </row>
    <row r="42" spans="1:7">
      <c r="G42" s="206"/>
    </row>
    <row r="43" spans="1:7">
      <c r="G43" s="206"/>
    </row>
    <row r="44" spans="1:7">
      <c r="G44" s="206"/>
    </row>
    <row r="45" spans="1:7">
      <c r="G45" s="206"/>
    </row>
    <row r="46" spans="1:7">
      <c r="G46" s="206"/>
    </row>
    <row r="47" spans="1:7">
      <c r="G47" s="206"/>
    </row>
    <row r="48" spans="1:7">
      <c r="G48" s="206"/>
    </row>
  </sheetData>
  <phoneticPr fontId="45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showGridLines="0" zoomScale="94" zoomScaleNormal="94" workbookViewId="0">
      <selection activeCell="E28" sqref="E28"/>
    </sheetView>
  </sheetViews>
  <sheetFormatPr defaultColWidth="9" defaultRowHeight="12.5"/>
  <cols>
    <col min="1" max="1" width="29" customWidth="1"/>
    <col min="2" max="10" width="10.6328125" customWidth="1"/>
    <col min="11" max="11" width="11.36328125" customWidth="1"/>
  </cols>
  <sheetData>
    <row r="1" spans="1:10" ht="18">
      <c r="A1" s="104" t="str">
        <f>Assumptions!D6</f>
        <v>Abercrombie &amp; Fitch Co.</v>
      </c>
      <c r="B1" s="104"/>
      <c r="C1" s="104"/>
      <c r="D1" s="104"/>
      <c r="E1" s="104"/>
      <c r="F1" s="104"/>
      <c r="G1" s="104"/>
      <c r="H1" s="104"/>
      <c r="I1" s="104"/>
      <c r="J1" s="104"/>
    </row>
    <row r="3" spans="1:10" ht="15.5">
      <c r="A3" s="155" t="s">
        <v>125</v>
      </c>
    </row>
    <row r="4" spans="1:10">
      <c r="A4" s="156" t="str">
        <f>"(Dollars in "&amp;IF(Assumptions!$D$8=0,"Thousands","Millions")&amp;")"</f>
        <v>(Dollars in Thousands)</v>
      </c>
    </row>
    <row r="5" spans="1:10">
      <c r="C5" s="186">
        <f>'Income Statement'!B6</f>
        <v>2014</v>
      </c>
      <c r="D5" s="186">
        <f>'Income Statement'!C6</f>
        <v>2015</v>
      </c>
      <c r="E5" s="186">
        <f>'Income Statement'!D6</f>
        <v>2016</v>
      </c>
      <c r="F5" s="186" t="str">
        <f>'Income Statement'!E6&amp;"E"</f>
        <v>2017E</v>
      </c>
      <c r="G5" s="186" t="str">
        <f>'Income Statement'!F6&amp;"E"</f>
        <v>2018E</v>
      </c>
      <c r="H5" s="186" t="str">
        <f>'Income Statement'!G6&amp;"E"</f>
        <v>2019E</v>
      </c>
      <c r="I5" s="186" t="str">
        <f>'Income Statement'!H6&amp;"E"</f>
        <v>2020E</v>
      </c>
      <c r="J5" s="186" t="str">
        <f>'Income Statement'!I6&amp;"E"</f>
        <v>2021E</v>
      </c>
    </row>
    <row r="6" spans="1:10">
      <c r="A6" s="93" t="s">
        <v>126</v>
      </c>
    </row>
    <row r="7" spans="1:10">
      <c r="A7" s="187" t="str">
        <f>'Income Statement'!A7</f>
        <v>Net sales</v>
      </c>
      <c r="C7" s="188">
        <f>'Income Statement'!B7</f>
        <v>3744030</v>
      </c>
      <c r="D7" s="188">
        <f>'Income Statement'!C7</f>
        <v>3518680</v>
      </c>
      <c r="E7" s="188">
        <f>'Income Statement'!D7</f>
        <v>3326740</v>
      </c>
      <c r="F7" s="188">
        <f>'Income Statement'!E7</f>
        <v>3293472.6</v>
      </c>
      <c r="G7" s="188">
        <f>'Income Statement'!F7</f>
        <v>3293472.6</v>
      </c>
      <c r="H7" s="188">
        <f>'Income Statement'!G7</f>
        <v>3309939.963</v>
      </c>
      <c r="I7" s="188">
        <f>'Income Statement'!H7</f>
        <v>3343039.3626299999</v>
      </c>
      <c r="J7" s="188">
        <f>'Income Statement'!I7</f>
        <v>3393184.9530694499</v>
      </c>
    </row>
    <row r="8" spans="1:10">
      <c r="A8" s="4" t="s">
        <v>127</v>
      </c>
      <c r="C8" s="188">
        <f>-'Income Statement'!B8</f>
        <v>1430460</v>
      </c>
      <c r="D8" s="188">
        <f>-'Income Statement'!C8</f>
        <v>1361137</v>
      </c>
      <c r="E8" s="188">
        <f>-'Income Statement'!D8</f>
        <v>1298172</v>
      </c>
      <c r="F8" s="188">
        <f>-'Income Statement'!E8</f>
        <v>1267986.9509999999</v>
      </c>
      <c r="G8" s="188">
        <f>-'Income Statement'!F8</f>
        <v>1267986.9509999999</v>
      </c>
      <c r="H8" s="188">
        <f>-'Income Statement'!G8</f>
        <v>1274326.8857549999</v>
      </c>
      <c r="I8" s="188">
        <f>-'Income Statement'!H8</f>
        <v>1287070.15461255</v>
      </c>
      <c r="J8" s="188">
        <f>-'Income Statement'!I8</f>
        <v>1306376.20693174</v>
      </c>
    </row>
    <row r="9" spans="1:10">
      <c r="A9" s="4"/>
      <c r="C9" s="188"/>
      <c r="D9" s="188"/>
      <c r="E9" s="188"/>
      <c r="F9" s="188"/>
      <c r="G9" s="188"/>
      <c r="H9" s="188"/>
      <c r="I9" s="188"/>
      <c r="J9" s="188"/>
    </row>
    <row r="10" spans="1:10">
      <c r="A10" s="93" t="s">
        <v>128</v>
      </c>
      <c r="C10" s="188"/>
      <c r="D10" s="188"/>
      <c r="E10" s="188"/>
      <c r="F10" s="188"/>
      <c r="G10" s="188"/>
      <c r="H10" s="188"/>
      <c r="I10" s="188"/>
      <c r="J10" s="188"/>
    </row>
    <row r="11" spans="1:10">
      <c r="A11" s="4" t="s">
        <v>79</v>
      </c>
      <c r="C11" s="188">
        <f>'Balance Sheet'!B9</f>
        <v>52910</v>
      </c>
      <c r="D11" s="188">
        <f>'Balance Sheet'!C9</f>
        <v>56868</v>
      </c>
      <c r="E11" s="188">
        <f>'Balance Sheet'!D9</f>
        <v>93384</v>
      </c>
      <c r="F11" s="189">
        <f>F29*F7/F28</f>
        <v>64158.167660498322</v>
      </c>
      <c r="G11" s="189">
        <f t="shared" ref="G11:J11" si="0">G29*G7/G28</f>
        <v>70029.957256195587</v>
      </c>
      <c r="H11" s="189">
        <f t="shared" si="0"/>
        <v>76008.676963804784</v>
      </c>
      <c r="I11" s="189">
        <f t="shared" si="0"/>
        <v>70798.172381146214</v>
      </c>
      <c r="J11" s="189">
        <f t="shared" si="0"/>
        <v>74042.494666800339</v>
      </c>
    </row>
    <row r="12" spans="1:10">
      <c r="A12" s="4" t="s">
        <v>80</v>
      </c>
      <c r="C12" s="188">
        <f>'Balance Sheet'!B10</f>
        <v>460794</v>
      </c>
      <c r="D12" s="188">
        <f>'Balance Sheet'!C10</f>
        <v>436701</v>
      </c>
      <c r="E12" s="188">
        <f>'Balance Sheet'!D10</f>
        <v>399795</v>
      </c>
      <c r="F12" s="189">
        <f>F30*F8/F28</f>
        <v>402280.18972854182</v>
      </c>
      <c r="G12" s="189">
        <f t="shared" ref="G12:J12" si="1">G30*G8/G28</f>
        <v>400221.39770825783</v>
      </c>
      <c r="H12" s="189">
        <f t="shared" si="1"/>
        <v>400013.59357798035</v>
      </c>
      <c r="I12" s="189">
        <f t="shared" si="1"/>
        <v>405087.82562125829</v>
      </c>
      <c r="J12" s="189">
        <f t="shared" si="1"/>
        <v>411567.65208536462</v>
      </c>
    </row>
    <row r="13" spans="1:10">
      <c r="A13" s="4" t="s">
        <v>129</v>
      </c>
      <c r="C13" s="190">
        <f>'Balance Sheet'!B11</f>
        <v>130560</v>
      </c>
      <c r="D13" s="190">
        <f>'Balance Sheet'!C11</f>
        <v>96833</v>
      </c>
      <c r="E13" s="190">
        <f>'Balance Sheet'!D11</f>
        <v>98932</v>
      </c>
      <c r="F13" s="191">
        <f>F31*F7</f>
        <v>101142.140576547</v>
      </c>
      <c r="G13" s="191">
        <f t="shared" ref="G13:J13" si="2">G31*G7</f>
        <v>96573.3938808573</v>
      </c>
      <c r="H13" s="191">
        <f t="shared" si="2"/>
        <v>99045.501843230406</v>
      </c>
      <c r="I13" s="191">
        <f t="shared" si="2"/>
        <v>100242.37003755</v>
      </c>
      <c r="J13" s="191">
        <f t="shared" si="2"/>
        <v>100926.575871116</v>
      </c>
    </row>
    <row r="14" spans="1:10">
      <c r="A14" s="93" t="s">
        <v>130</v>
      </c>
      <c r="C14" s="192">
        <f>SUM(C11:C13)</f>
        <v>644264</v>
      </c>
      <c r="D14" s="192">
        <f t="shared" ref="D14:J14" si="3">SUM(D11:D13)</f>
        <v>590402</v>
      </c>
      <c r="E14" s="192">
        <f t="shared" si="3"/>
        <v>592111</v>
      </c>
      <c r="F14" s="193">
        <f t="shared" si="3"/>
        <v>567580.49796558719</v>
      </c>
      <c r="G14" s="193">
        <f t="shared" si="3"/>
        <v>566824.74884531077</v>
      </c>
      <c r="H14" s="193">
        <f t="shared" si="3"/>
        <v>575067.77238501562</v>
      </c>
      <c r="I14" s="193">
        <f t="shared" si="3"/>
        <v>576128.36803995457</v>
      </c>
      <c r="J14" s="193">
        <f t="shared" si="3"/>
        <v>586536.72262328095</v>
      </c>
    </row>
    <row r="15" spans="1:10">
      <c r="C15" s="188"/>
      <c r="D15" s="188"/>
      <c r="E15" s="188"/>
      <c r="F15" s="189"/>
      <c r="G15" s="189"/>
      <c r="H15" s="189"/>
      <c r="I15" s="189"/>
      <c r="J15" s="189"/>
    </row>
    <row r="16" spans="1:10">
      <c r="A16" s="4" t="s">
        <v>131</v>
      </c>
      <c r="C16" s="188">
        <f>'Balance Sheet'!B23</f>
        <v>141685</v>
      </c>
      <c r="D16" s="188">
        <f>'Balance Sheet'!C23</f>
        <v>184175</v>
      </c>
      <c r="E16" s="188">
        <f>'Balance Sheet'!D23</f>
        <v>187017</v>
      </c>
      <c r="F16" s="189">
        <f>F33*F8/F28</f>
        <v>160110.70843614533</v>
      </c>
      <c r="G16" s="189">
        <f t="shared" ref="G16:J16" si="4">G33*G8/G28</f>
        <v>171616.8516434897</v>
      </c>
      <c r="H16" s="189">
        <f t="shared" si="4"/>
        <v>172490.33054224539</v>
      </c>
      <c r="I16" s="189">
        <f t="shared" si="4"/>
        <v>169846.43187875501</v>
      </c>
      <c r="J16" s="189">
        <f t="shared" si="4"/>
        <v>175502.52797746164</v>
      </c>
    </row>
    <row r="17" spans="1:12">
      <c r="A17" s="4" t="s">
        <v>132</v>
      </c>
      <c r="C17" s="188">
        <f>'Balance Sheet'!B24</f>
        <v>282736</v>
      </c>
      <c r="D17" s="188">
        <f>'Balance Sheet'!C24</f>
        <v>321237</v>
      </c>
      <c r="E17" s="188">
        <f>'Balance Sheet'!D24</f>
        <v>273044</v>
      </c>
      <c r="F17" s="189">
        <f>F34*F7</f>
        <v>273233.93150494102</v>
      </c>
      <c r="G17" s="189">
        <f t="shared" ref="G17:J17" si="5">G34*G7</f>
        <v>281408.07964111603</v>
      </c>
      <c r="H17" s="189">
        <f t="shared" si="5"/>
        <v>276360.11633392901</v>
      </c>
      <c r="I17" s="189">
        <f t="shared" si="5"/>
        <v>280704.363637025</v>
      </c>
      <c r="J17" s="189">
        <f t="shared" si="5"/>
        <v>286051.14088653901</v>
      </c>
    </row>
    <row r="18" spans="1:12">
      <c r="A18" s="4" t="s">
        <v>133</v>
      </c>
      <c r="C18" s="188">
        <f>'Balance Sheet'!B26</f>
        <v>26629</v>
      </c>
      <c r="D18" s="188">
        <f>'Balance Sheet'!C26</f>
        <v>23303</v>
      </c>
      <c r="E18" s="188">
        <f>'Balance Sheet'!D26</f>
        <v>20076</v>
      </c>
      <c r="F18" s="189">
        <f>F35*F7</f>
        <v>21703.743187003402</v>
      </c>
      <c r="G18" s="189">
        <f t="shared" ref="G18:J18" si="6">G35*G7</f>
        <v>21130.170836624799</v>
      </c>
      <c r="H18" s="189">
        <f t="shared" si="6"/>
        <v>21007.566597915498</v>
      </c>
      <c r="I18" s="189">
        <f t="shared" si="6"/>
        <v>21565.402231192798</v>
      </c>
      <c r="J18" s="189">
        <f t="shared" si="6"/>
        <v>21731.564256281799</v>
      </c>
    </row>
    <row r="19" spans="1:12">
      <c r="A19" s="187" t="str">
        <f>'Balance Sheet'!A25</f>
        <v>Income taxes payable</v>
      </c>
      <c r="C19" s="190">
        <f>'Balance Sheet'!B25</f>
        <v>32804</v>
      </c>
      <c r="D19" s="190">
        <f>'Balance Sheet'!C25</f>
        <v>5988</v>
      </c>
      <c r="E19" s="190">
        <f>'Balance Sheet'!D25</f>
        <v>5863</v>
      </c>
      <c r="F19" s="191">
        <f>F36*F7</f>
        <v>13421.8257174916</v>
      </c>
      <c r="G19" s="191">
        <f t="shared" ref="G19:J19" si="7">G36*G7</f>
        <v>8276.9811668034108</v>
      </c>
      <c r="H19" s="191">
        <f t="shared" si="7"/>
        <v>9213.5642562388402</v>
      </c>
      <c r="I19" s="191">
        <f t="shared" si="7"/>
        <v>10443.691275568301</v>
      </c>
      <c r="J19" s="191">
        <f t="shared" si="7"/>
        <v>9524.4016737831098</v>
      </c>
    </row>
    <row r="20" spans="1:12">
      <c r="A20" s="93" t="s">
        <v>134</v>
      </c>
      <c r="C20" s="192">
        <f>SUM(C16:C19)</f>
        <v>483854</v>
      </c>
      <c r="D20" s="192">
        <f t="shared" ref="D20:J20" si="8">SUM(D16:D19)</f>
        <v>534703</v>
      </c>
      <c r="E20" s="192">
        <f t="shared" si="8"/>
        <v>486000</v>
      </c>
      <c r="F20" s="192">
        <f t="shared" si="8"/>
        <v>468470.20884558139</v>
      </c>
      <c r="G20" s="192">
        <f t="shared" si="8"/>
        <v>482432.08328803396</v>
      </c>
      <c r="H20" s="192">
        <f t="shared" si="8"/>
        <v>479071.57773032878</v>
      </c>
      <c r="I20" s="192">
        <f t="shared" si="8"/>
        <v>482559.88902254112</v>
      </c>
      <c r="J20" s="192">
        <f t="shared" si="8"/>
        <v>492809.63479406555</v>
      </c>
    </row>
    <row r="25" spans="1:12" ht="13">
      <c r="F25" s="194"/>
    </row>
    <row r="27" spans="1:12">
      <c r="A27" s="93" t="s">
        <v>135</v>
      </c>
      <c r="B27" s="4"/>
      <c r="C27" s="4"/>
      <c r="D27" s="4"/>
      <c r="E27" s="4"/>
      <c r="F27" s="4"/>
      <c r="G27" s="4"/>
      <c r="H27" s="4"/>
      <c r="I27" s="4"/>
      <c r="J27" s="4"/>
    </row>
    <row r="28" spans="1:12">
      <c r="A28" s="4" t="s">
        <v>136</v>
      </c>
      <c r="B28" s="4"/>
      <c r="C28" s="195">
        <f>_xlfn.DAYS(DATE(2015,1,1),DATE(2014,1,1))</f>
        <v>365</v>
      </c>
      <c r="D28" s="195">
        <f>_xlfn.DAYS(DATE(2016,1,1),DATE(2015,1,1))</f>
        <v>365</v>
      </c>
      <c r="E28" s="195">
        <f>_xlfn.DAYS(DATE(2017,1,1),DATE(2016,1,1))</f>
        <v>366</v>
      </c>
      <c r="F28" s="195">
        <f>_xlfn.DAYS(DATE(2018,1,1),DATE(2017,1,1))</f>
        <v>365</v>
      </c>
      <c r="G28" s="195">
        <f>_xlfn.DAYS(DATE(2019,1,1),DATE(2018,1,1))</f>
        <v>365</v>
      </c>
      <c r="H28" s="195">
        <f>_xlfn.DAYS(DATE(2020,1,1),DATE(2019,1,1))</f>
        <v>365</v>
      </c>
      <c r="I28" s="195">
        <f>_xlfn.DAYS(DATE(2021,1,1),DATE(2020,1,1))</f>
        <v>366</v>
      </c>
      <c r="J28" s="195">
        <f>_xlfn.DAYS(DATE(2022,1,1),DATE(2021,1,1))</f>
        <v>365</v>
      </c>
    </row>
    <row r="29" spans="1:12">
      <c r="A29" s="4" t="s">
        <v>137</v>
      </c>
      <c r="B29" s="4"/>
      <c r="C29" s="196">
        <f>C11/C7*C28</f>
        <v>5.1581183911453703</v>
      </c>
      <c r="D29" s="196">
        <f t="shared" ref="D29:E29" si="9">D11/D7*D28</f>
        <v>5.8990360021371657</v>
      </c>
      <c r="E29" s="196">
        <f t="shared" si="9"/>
        <v>10.273884944420063</v>
      </c>
      <c r="F29" s="197">
        <f t="shared" ref="F29:H30" si="10">AVERAGE(C29:E29)</f>
        <v>7.1103464459008663</v>
      </c>
      <c r="G29" s="197">
        <f t="shared" si="10"/>
        <v>7.7610891308193644</v>
      </c>
      <c r="H29" s="197">
        <f t="shared" si="10"/>
        <v>8.3817735070467645</v>
      </c>
      <c r="I29" s="197">
        <f t="shared" ref="G29:J31" si="11">AVERAGE(F29:H29)</f>
        <v>7.751069694588999</v>
      </c>
      <c r="J29" s="197">
        <f t="shared" si="11"/>
        <v>7.9646441108183765</v>
      </c>
    </row>
    <row r="30" spans="1:12" ht="13">
      <c r="A30" s="4" t="s">
        <v>138</v>
      </c>
      <c r="B30" s="4"/>
      <c r="C30" s="196">
        <f>C12/C8*C28</f>
        <v>117.577429638019</v>
      </c>
      <c r="D30" s="196">
        <f t="shared" ref="D30:E30" si="12">D12/D8*D28</f>
        <v>117.10493873871624</v>
      </c>
      <c r="E30" s="196">
        <f t="shared" si="12"/>
        <v>112.71616550041135</v>
      </c>
      <c r="F30" s="197">
        <f t="shared" si="10"/>
        <v>115.79951129238219</v>
      </c>
      <c r="G30" s="197">
        <f t="shared" si="10"/>
        <v>115.20687184383659</v>
      </c>
      <c r="H30" s="197">
        <f t="shared" si="10"/>
        <v>114.57418287887673</v>
      </c>
      <c r="I30" s="197">
        <f>AVERAGE(F30:H30)</f>
        <v>115.19352200503185</v>
      </c>
      <c r="J30" s="197">
        <f t="shared" si="11"/>
        <v>114.99152557591505</v>
      </c>
      <c r="L30" s="194"/>
    </row>
    <row r="31" spans="1:12">
      <c r="A31" s="4" t="s">
        <v>139</v>
      </c>
      <c r="B31" s="4"/>
      <c r="C31" s="198">
        <f>C13/C7</f>
        <v>3.4871515452600498E-2</v>
      </c>
      <c r="D31" s="198">
        <f>D13/D7</f>
        <v>2.7519694885582102E-2</v>
      </c>
      <c r="E31" s="198">
        <f t="shared" ref="E31" si="13">E13/E7</f>
        <v>2.97384225999026E-2</v>
      </c>
      <c r="F31" s="199">
        <f t="shared" ref="F31" si="14">AVERAGE(C31:E31)</f>
        <v>3.0709877646028401E-2</v>
      </c>
      <c r="G31" s="199">
        <f t="shared" si="11"/>
        <v>2.9322665043837699E-2</v>
      </c>
      <c r="H31" s="199">
        <f t="shared" si="11"/>
        <v>2.9923655096589601E-2</v>
      </c>
      <c r="I31" s="199">
        <f t="shared" si="11"/>
        <v>2.99853992621519E-2</v>
      </c>
      <c r="J31" s="199">
        <f t="shared" si="11"/>
        <v>2.97439064675264E-2</v>
      </c>
    </row>
    <row r="32" spans="1:12">
      <c r="A32" s="4"/>
      <c r="B32" s="4"/>
      <c r="C32" s="4"/>
      <c r="D32" s="4"/>
      <c r="E32" s="4"/>
      <c r="F32" s="200"/>
      <c r="G32" s="200"/>
      <c r="H32" s="200"/>
      <c r="I32" s="200"/>
      <c r="J32" s="200"/>
    </row>
    <row r="33" spans="1:10">
      <c r="A33" s="4" t="s">
        <v>140</v>
      </c>
      <c r="B33" s="4"/>
      <c r="C33" s="196">
        <f>C16/C8*C28</f>
        <v>36.152723599401597</v>
      </c>
      <c r="D33" s="196">
        <f t="shared" ref="D33:E33" si="15">D16/D8*D28</f>
        <v>49.388030007265982</v>
      </c>
      <c r="E33" s="196">
        <f t="shared" si="15"/>
        <v>52.726620201329254</v>
      </c>
      <c r="F33" s="197">
        <f>AVERAGE(C33:E33)</f>
        <v>46.089124602665606</v>
      </c>
      <c r="G33" s="197">
        <f t="shared" ref="G33:J36" si="16">AVERAGE(D33:F33)</f>
        <v>49.401258270420279</v>
      </c>
      <c r="H33" s="197">
        <f t="shared" si="16"/>
        <v>49.405667691471713</v>
      </c>
      <c r="I33" s="197">
        <f t="shared" si="16"/>
        <v>48.298683521519195</v>
      </c>
      <c r="J33" s="197">
        <f t="shared" si="16"/>
        <v>49.035203161137055</v>
      </c>
    </row>
    <row r="34" spans="1:10">
      <c r="A34" s="4" t="s">
        <v>141</v>
      </c>
      <c r="B34" s="4"/>
      <c r="C34" s="198">
        <f>C17/C7</f>
        <v>7.5516488917022603E-2</v>
      </c>
      <c r="D34" s="198">
        <f t="shared" ref="D34:E34" si="17">D17/D7</f>
        <v>9.1294746893721496E-2</v>
      </c>
      <c r="E34" s="198">
        <f t="shared" si="17"/>
        <v>8.2075545428858296E-2</v>
      </c>
      <c r="F34" s="199">
        <f t="shared" ref="F34:F36" si="18">AVERAGE(C34:E34)</f>
        <v>8.2962260413200803E-2</v>
      </c>
      <c r="G34" s="199">
        <f t="shared" si="16"/>
        <v>8.5444184245260194E-2</v>
      </c>
      <c r="H34" s="199">
        <f t="shared" si="16"/>
        <v>8.3493996695773107E-2</v>
      </c>
      <c r="I34" s="199">
        <f t="shared" si="16"/>
        <v>8.3966813784744701E-2</v>
      </c>
      <c r="J34" s="199">
        <f t="shared" si="16"/>
        <v>8.4301664908592699E-2</v>
      </c>
    </row>
    <row r="35" spans="1:10">
      <c r="A35" s="4" t="s">
        <v>142</v>
      </c>
      <c r="B35" s="4"/>
      <c r="C35" s="198">
        <f>C18/C7</f>
        <v>7.1123895908953702E-3</v>
      </c>
      <c r="D35" s="198">
        <f t="shared" ref="D35:E35" si="19">D18/D7</f>
        <v>6.6226539497766202E-3</v>
      </c>
      <c r="E35" s="198">
        <f t="shared" si="19"/>
        <v>6.03473670921082E-3</v>
      </c>
      <c r="F35" s="199">
        <f t="shared" si="18"/>
        <v>6.58992674996094E-3</v>
      </c>
      <c r="G35" s="199">
        <f t="shared" si="16"/>
        <v>6.4157724696494601E-3</v>
      </c>
      <c r="H35" s="199">
        <f t="shared" si="16"/>
        <v>6.3468119762737397E-3</v>
      </c>
      <c r="I35" s="199">
        <f t="shared" si="16"/>
        <v>6.4508370652947098E-3</v>
      </c>
      <c r="J35" s="199">
        <f t="shared" si="16"/>
        <v>6.4044738370726403E-3</v>
      </c>
    </row>
    <row r="36" spans="1:10">
      <c r="A36" s="4" t="s">
        <v>143</v>
      </c>
      <c r="C36" s="198">
        <f>C19/C7</f>
        <v>8.7616819309674302E-3</v>
      </c>
      <c r="D36" s="198">
        <f t="shared" ref="D36:E36" si="20">D19/D7</f>
        <v>1.70177452908477E-3</v>
      </c>
      <c r="E36" s="198">
        <f t="shared" si="20"/>
        <v>1.7623859995070199E-3</v>
      </c>
      <c r="F36" s="199">
        <f t="shared" si="18"/>
        <v>4.0752808198530801E-3</v>
      </c>
      <c r="G36" s="199">
        <f>AVERAGE(D36:F36)</f>
        <v>2.5131471161482901E-3</v>
      </c>
      <c r="H36" s="199">
        <f t="shared" si="16"/>
        <v>2.7836046451694598E-3</v>
      </c>
      <c r="I36" s="199">
        <f t="shared" si="16"/>
        <v>3.1240108603902798E-3</v>
      </c>
      <c r="J36" s="199">
        <f t="shared" si="16"/>
        <v>2.8069208739026799E-3</v>
      </c>
    </row>
  </sheetData>
  <phoneticPr fontId="45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3"/>
  <sheetViews>
    <sheetView showGridLines="0" zoomScale="102" zoomScaleNormal="102" workbookViewId="0">
      <selection activeCell="F42" sqref="F42"/>
    </sheetView>
  </sheetViews>
  <sheetFormatPr defaultColWidth="9.08984375" defaultRowHeight="10"/>
  <cols>
    <col min="1" max="1" width="9.81640625" style="169" customWidth="1"/>
    <col min="2" max="2" width="13" style="169" customWidth="1"/>
    <col min="3" max="3" width="10.08984375" style="169" customWidth="1"/>
    <col min="4" max="4" width="9.54296875" style="169" customWidth="1"/>
    <col min="5" max="5" width="12.26953125" style="169" customWidth="1"/>
    <col min="6" max="6" width="11.36328125" style="169" customWidth="1"/>
    <col min="7" max="7" width="11" style="169" customWidth="1"/>
    <col min="8" max="8" width="11.6328125" style="169" customWidth="1"/>
    <col min="9" max="9" width="11.08984375" style="169" customWidth="1"/>
    <col min="10" max="10" width="10.08984375" style="169" customWidth="1"/>
    <col min="11" max="11" width="11" style="169" customWidth="1"/>
    <col min="12" max="12" width="9.08984375" style="169"/>
    <col min="13" max="13" width="10.7265625" style="169" customWidth="1"/>
    <col min="14" max="16384" width="9.08984375" style="169"/>
  </cols>
  <sheetData>
    <row r="1" spans="1:11" customFormat="1" ht="18">
      <c r="A1" s="104" t="str">
        <f>Assumptions!D6</f>
        <v>Abercrombie &amp; Fitch Co.</v>
      </c>
      <c r="B1" s="104"/>
      <c r="C1" s="104"/>
      <c r="D1" s="104"/>
      <c r="E1" s="104"/>
      <c r="F1" s="104"/>
      <c r="G1" s="104"/>
      <c r="H1" s="104"/>
      <c r="I1" s="104"/>
    </row>
    <row r="2" spans="1:11">
      <c r="A2" s="170"/>
    </row>
    <row r="3" spans="1:11">
      <c r="K3" s="185"/>
    </row>
    <row r="4" spans="1:11" ht="10.5">
      <c r="A4" s="171" t="s">
        <v>144</v>
      </c>
      <c r="E4" s="172">
        <f>SCF!B6</f>
        <v>2017</v>
      </c>
      <c r="F4" s="172">
        <f>SCF!C6</f>
        <v>2018</v>
      </c>
      <c r="G4" s="172">
        <f>SCF!D6</f>
        <v>2019</v>
      </c>
      <c r="H4" s="172">
        <f>SCF!E6</f>
        <v>2020</v>
      </c>
      <c r="I4" s="172">
        <f>SCF!F6</f>
        <v>2021</v>
      </c>
      <c r="K4" s="185"/>
    </row>
    <row r="5" spans="1:11">
      <c r="A5" s="169" t="s">
        <v>145</v>
      </c>
      <c r="E5" s="173">
        <f ca="1">SCF!B23+SCF!B18</f>
        <v>247866.91834442632</v>
      </c>
      <c r="F5" s="173">
        <f ca="1">SCF!C23+SCF!C18</f>
        <v>120132.7789477593</v>
      </c>
      <c r="G5" s="173">
        <f ca="1">SCF!D23+SCF!D18</f>
        <v>117637.1426196644</v>
      </c>
      <c r="H5" s="173">
        <f ca="1">SCF!E23+SCF!E18</f>
        <v>153908.74096772127</v>
      </c>
      <c r="I5" s="173">
        <f ca="1">SCF!F23+SCF!F18</f>
        <v>143106.83483966172</v>
      </c>
      <c r="K5" s="185"/>
    </row>
    <row r="6" spans="1:11" ht="12.5">
      <c r="A6" s="169" t="s">
        <v>146</v>
      </c>
      <c r="C6" s="4"/>
      <c r="D6"/>
      <c r="E6" s="118">
        <f>Assumptions!E110</f>
        <v>0</v>
      </c>
      <c r="F6" s="118">
        <f>Assumptions!F110</f>
        <v>0</v>
      </c>
      <c r="G6" s="118">
        <f>Assumptions!G110</f>
        <v>0</v>
      </c>
      <c r="H6" s="118">
        <f>Assumptions!H110</f>
        <v>0</v>
      </c>
      <c r="I6" s="118">
        <f>Assumptions!I110</f>
        <v>0</v>
      </c>
      <c r="K6" s="185"/>
    </row>
    <row r="7" spans="1:11" ht="12.5">
      <c r="A7" s="169" t="s">
        <v>147</v>
      </c>
      <c r="C7" s="4"/>
      <c r="D7"/>
      <c r="E7" s="118">
        <f ca="1">IF('Income Statement'!E19&lt;0,0,-Assumptions!E109*'Income Statement'!E19)</f>
        <v>-11801.041119664755</v>
      </c>
      <c r="F7" s="118">
        <f ca="1">IF('Income Statement'!F19&lt;0,0,-Assumptions!F109*'Income Statement'!F19)</f>
        <v>-10368.383307754579</v>
      </c>
      <c r="G7" s="118">
        <f ca="1">IF('Income Statement'!G19&lt;0,0,-Assumptions!G109*'Income Statement'!G19)</f>
        <v>-9849.4107575612234</v>
      </c>
      <c r="H7" s="118">
        <f ca="1">IF('Income Statement'!H19&lt;0,0,-Assumptions!H109*'Income Statement'!H19)</f>
        <v>-9529.463799567231</v>
      </c>
      <c r="I7" s="118">
        <f ca="1">IF('Income Statement'!I19&lt;0,0,-Assumptions!I109*'Income Statement'!I19)</f>
        <v>-9378.726547719345</v>
      </c>
      <c r="K7" s="185"/>
    </row>
    <row r="8" spans="1:11" ht="12.5">
      <c r="A8" s="169" t="str">
        <f>SCF!A30</f>
        <v>Deferred leases Increases (Decreases)</v>
      </c>
      <c r="C8" s="4"/>
      <c r="D8"/>
      <c r="E8" s="118">
        <f>SCF!B30</f>
        <v>-40381.184999999998</v>
      </c>
      <c r="F8" s="118">
        <f>SCF!C30</f>
        <v>0</v>
      </c>
      <c r="G8" s="118">
        <f>SCF!D30</f>
        <v>411.68407499999699</v>
      </c>
      <c r="H8" s="118">
        <f>SCF!E30</f>
        <v>827.48499074998801</v>
      </c>
      <c r="I8" s="118">
        <f>SCF!F30</f>
        <v>1253.6397609862499</v>
      </c>
      <c r="K8" s="185"/>
    </row>
    <row r="9" spans="1:11" ht="12.5">
      <c r="A9" s="169" t="s">
        <v>121</v>
      </c>
      <c r="C9" s="4"/>
      <c r="D9"/>
      <c r="E9" s="118">
        <f>'Balance Sheet'!E34-'Balance Sheet'!D34</f>
        <v>31559</v>
      </c>
      <c r="F9" s="118">
        <f>'Balance Sheet'!F34-'Balance Sheet'!E34</f>
        <v>0</v>
      </c>
      <c r="G9" s="118">
        <f>'Balance Sheet'!G34-'Balance Sheet'!F34</f>
        <v>0</v>
      </c>
      <c r="H9" s="118">
        <f>'Balance Sheet'!H34-'Balance Sheet'!G34</f>
        <v>0</v>
      </c>
      <c r="I9" s="118">
        <f>'Balance Sheet'!I34-'Balance Sheet'!H34</f>
        <v>0</v>
      </c>
      <c r="K9" s="185"/>
    </row>
    <row r="10" spans="1:11" ht="12.5">
      <c r="A10" s="169" t="s">
        <v>148</v>
      </c>
      <c r="C10" s="4"/>
      <c r="D10"/>
      <c r="E10" s="118">
        <f>'Balance Sheet'!D8</f>
        <v>547189</v>
      </c>
      <c r="F10" s="118">
        <f ca="1">'Balance Sheet'!E8</f>
        <v>924432.69222476159</v>
      </c>
      <c r="G10" s="118">
        <f ca="1">'Balance Sheet'!F8</f>
        <v>1034197.0878647664</v>
      </c>
      <c r="H10" s="118">
        <f ca="1">'Balance Sheet'!G8</f>
        <v>1073830.5038018695</v>
      </c>
      <c r="I10" s="118">
        <f ca="1">'Balance Sheet'!H8</f>
        <v>1219037.2659607735</v>
      </c>
      <c r="K10" s="185"/>
    </row>
    <row r="11" spans="1:11" ht="12.5">
      <c r="A11" s="169" t="s">
        <v>149</v>
      </c>
      <c r="C11" s="4"/>
      <c r="D11"/>
      <c r="E11" s="174">
        <f>-Assumptions!E111*'Income Statement'!E7</f>
        <v>-32934.726000000002</v>
      </c>
      <c r="F11" s="174">
        <f>-Assumptions!F111*'Income Statement'!F7</f>
        <v>-32934.726000000002</v>
      </c>
      <c r="G11" s="174">
        <f>-Assumptions!G111*'Income Statement'!G7</f>
        <v>-33099.39963</v>
      </c>
      <c r="H11" s="174">
        <f>-Assumptions!H111*'Income Statement'!H7</f>
        <v>-33430.3936263</v>
      </c>
      <c r="I11" s="174">
        <f>-Assumptions!I111*'Income Statement'!I7</f>
        <v>-33931.849530694497</v>
      </c>
      <c r="K11" s="185"/>
    </row>
    <row r="12" spans="1:11" ht="12.5">
      <c r="A12" s="175" t="s">
        <v>150</v>
      </c>
      <c r="C12" s="4"/>
      <c r="D12"/>
      <c r="E12" s="176">
        <f ca="1">SUM(E5:E11)</f>
        <v>741497.96622476156</v>
      </c>
      <c r="F12" s="176">
        <f ca="1">SUM(F5:F11)</f>
        <v>1001262.3618647663</v>
      </c>
      <c r="G12" s="176">
        <f ca="1">SUM(G5:G11)</f>
        <v>1109297.1041718693</v>
      </c>
      <c r="H12" s="176">
        <f ca="1">SUM(H5:H11)</f>
        <v>1185606.8723344735</v>
      </c>
      <c r="I12" s="176">
        <f ca="1">SUM(I5:I11)</f>
        <v>1320087.1644830075</v>
      </c>
    </row>
    <row r="13" spans="1:11" ht="12.5">
      <c r="A13" s="169" t="s">
        <v>151</v>
      </c>
      <c r="C13" s="4"/>
      <c r="D13"/>
      <c r="E13" s="118">
        <f>-'Balance Sheet'!D27</f>
        <v>0</v>
      </c>
      <c r="F13" s="118">
        <f>-'Balance Sheet'!E27</f>
        <v>0</v>
      </c>
      <c r="G13" s="118">
        <f>-'Balance Sheet'!F27</f>
        <v>-68566</v>
      </c>
      <c r="H13" s="118">
        <f>-'Balance Sheet'!G27</f>
        <v>0</v>
      </c>
      <c r="I13" s="118">
        <f>-'Balance Sheet'!H27</f>
        <v>-50000</v>
      </c>
    </row>
    <row r="14" spans="1:11" ht="12.5">
      <c r="A14" s="169" t="s">
        <v>152</v>
      </c>
      <c r="C14" s="4"/>
      <c r="D14"/>
      <c r="E14" s="174">
        <f>Assumptions!E104</f>
        <v>150000</v>
      </c>
      <c r="F14" s="174">
        <f>Assumptions!F104</f>
        <v>0</v>
      </c>
      <c r="G14" s="174">
        <f>Assumptions!G104</f>
        <v>0</v>
      </c>
      <c r="H14" s="174">
        <f>Assumptions!H104</f>
        <v>0</v>
      </c>
      <c r="I14" s="174">
        <f>Assumptions!I104</f>
        <v>0</v>
      </c>
    </row>
    <row r="15" spans="1:11" ht="12.5">
      <c r="A15" s="175" t="s">
        <v>153</v>
      </c>
      <c r="C15" s="4"/>
      <c r="D15"/>
      <c r="E15" s="176">
        <f ca="1">SUM(E12:E14)</f>
        <v>891497.96622476156</v>
      </c>
      <c r="F15" s="176">
        <f t="shared" ref="F15:I15" ca="1" si="0">SUM(F12:F14)</f>
        <v>1001262.3618647663</v>
      </c>
      <c r="G15" s="176">
        <f t="shared" ca="1" si="0"/>
        <v>1040731.1041718693</v>
      </c>
      <c r="H15" s="176">
        <f t="shared" ca="1" si="0"/>
        <v>1185606.8723344735</v>
      </c>
      <c r="I15" s="176">
        <f t="shared" ca="1" si="0"/>
        <v>1270087.1644830075</v>
      </c>
    </row>
    <row r="16" spans="1:11" ht="12.5">
      <c r="C16" s="4"/>
      <c r="D16"/>
      <c r="E16" s="118"/>
      <c r="F16" s="118"/>
      <c r="G16" s="118"/>
      <c r="H16" s="118"/>
      <c r="I16" s="118"/>
    </row>
    <row r="17" spans="1:13" ht="12.5">
      <c r="A17" s="175" t="s">
        <v>154</v>
      </c>
      <c r="C17" s="4"/>
      <c r="D17"/>
      <c r="E17" s="118"/>
      <c r="F17" s="118"/>
      <c r="G17" s="118"/>
      <c r="H17" s="118"/>
      <c r="I17" s="118"/>
      <c r="L17" s="181"/>
      <c r="M17" s="179"/>
    </row>
    <row r="18" spans="1:13" ht="12.5">
      <c r="A18" s="169" t="s">
        <v>155</v>
      </c>
      <c r="C18" s="4"/>
      <c r="D18"/>
      <c r="E18" s="173">
        <f>D20</f>
        <v>0</v>
      </c>
      <c r="F18" s="173">
        <f ca="1">E20</f>
        <v>0</v>
      </c>
      <c r="G18" s="173">
        <f t="shared" ref="G18:I18" ca="1" si="1">F20</f>
        <v>0</v>
      </c>
      <c r="H18" s="173">
        <f t="shared" ca="1" si="1"/>
        <v>0</v>
      </c>
      <c r="I18" s="173">
        <f t="shared" ca="1" si="1"/>
        <v>0</v>
      </c>
    </row>
    <row r="19" spans="1:13" ht="12.5">
      <c r="A19" s="169" t="s">
        <v>156</v>
      </c>
      <c r="C19" s="4"/>
      <c r="D19" s="177"/>
      <c r="E19" s="174">
        <f ca="1">-MIN(E18,E15)</f>
        <v>0</v>
      </c>
      <c r="F19" s="174">
        <f t="shared" ref="F19:I19" ca="1" si="2">-MIN(F18,F15)</f>
        <v>0</v>
      </c>
      <c r="G19" s="174">
        <f t="shared" ca="1" si="2"/>
        <v>0</v>
      </c>
      <c r="H19" s="174">
        <f t="shared" ca="1" si="2"/>
        <v>0</v>
      </c>
      <c r="I19" s="174">
        <f t="shared" ca="1" si="2"/>
        <v>0</v>
      </c>
    </row>
    <row r="20" spans="1:13" ht="10.5">
      <c r="A20" s="175" t="s">
        <v>157</v>
      </c>
      <c r="C20" s="4"/>
      <c r="D20" s="176">
        <f>'Balance Sheet'!D31</f>
        <v>0</v>
      </c>
      <c r="E20" s="176">
        <f ca="1">SUM(E18,E19)</f>
        <v>0</v>
      </c>
      <c r="F20" s="176">
        <f ca="1">SUM(F18,F19)</f>
        <v>0</v>
      </c>
      <c r="G20" s="176">
        <f t="shared" ref="G20:I20" ca="1" si="3">SUM(G18,G19)</f>
        <v>0</v>
      </c>
      <c r="H20" s="176">
        <f t="shared" ca="1" si="3"/>
        <v>0</v>
      </c>
      <c r="I20" s="176">
        <f t="shared" ca="1" si="3"/>
        <v>0</v>
      </c>
    </row>
    <row r="21" spans="1:13">
      <c r="C21" s="4"/>
      <c r="D21" s="4"/>
      <c r="E21" s="118"/>
      <c r="F21" s="118"/>
      <c r="G21" s="118"/>
      <c r="H21" s="118"/>
      <c r="I21" s="118"/>
    </row>
    <row r="22" spans="1:13" ht="10.5">
      <c r="A22" s="93" t="s">
        <v>158</v>
      </c>
      <c r="B22" s="4"/>
      <c r="C22" s="4"/>
      <c r="D22" s="4"/>
      <c r="E22" s="118"/>
      <c r="F22" s="118"/>
      <c r="G22" s="118"/>
      <c r="H22" s="118"/>
      <c r="I22" s="118"/>
      <c r="L22" s="181"/>
    </row>
    <row r="23" spans="1:13">
      <c r="A23" s="4" t="s">
        <v>155</v>
      </c>
      <c r="B23" s="4"/>
      <c r="C23" s="4"/>
      <c r="D23" s="4"/>
      <c r="E23" s="173">
        <f>D25</f>
        <v>262992</v>
      </c>
      <c r="F23" s="173">
        <f>E25</f>
        <v>412992</v>
      </c>
      <c r="G23" s="173">
        <f t="shared" ref="G23:I23" si="4">F25</f>
        <v>412992</v>
      </c>
      <c r="H23" s="173">
        <f t="shared" si="4"/>
        <v>344426</v>
      </c>
      <c r="I23" s="173">
        <f t="shared" si="4"/>
        <v>344426</v>
      </c>
    </row>
    <row r="24" spans="1:13">
      <c r="A24" s="4" t="s">
        <v>159</v>
      </c>
      <c r="B24" s="4"/>
      <c r="C24" s="4"/>
      <c r="D24" s="178"/>
      <c r="E24" s="174">
        <f>E13+E14</f>
        <v>150000</v>
      </c>
      <c r="F24" s="174">
        <f t="shared" ref="F24:I24" si="5">F13+F14</f>
        <v>0</v>
      </c>
      <c r="G24" s="174">
        <f t="shared" si="5"/>
        <v>-68566</v>
      </c>
      <c r="H24" s="174">
        <f t="shared" si="5"/>
        <v>0</v>
      </c>
      <c r="I24" s="174">
        <f t="shared" si="5"/>
        <v>-50000</v>
      </c>
    </row>
    <row r="25" spans="1:13" ht="10.5">
      <c r="A25" s="93" t="s">
        <v>157</v>
      </c>
      <c r="B25" s="4"/>
      <c r="C25" s="4"/>
      <c r="D25" s="176">
        <f>'Balance Sheet'!D27+'Balance Sheet'!D32</f>
        <v>262992</v>
      </c>
      <c r="E25" s="176">
        <f>SUM(E23,E24)</f>
        <v>412992</v>
      </c>
      <c r="F25" s="176">
        <f>SUM(F23,F24)</f>
        <v>412992</v>
      </c>
      <c r="G25" s="176">
        <f t="shared" ref="G25:I25" si="6">SUM(G23,G24)</f>
        <v>344426</v>
      </c>
      <c r="H25" s="176">
        <f t="shared" si="6"/>
        <v>344426</v>
      </c>
      <c r="I25" s="176">
        <f t="shared" si="6"/>
        <v>294426</v>
      </c>
    </row>
    <row r="26" spans="1:13" ht="12.5">
      <c r="A26"/>
      <c r="B26"/>
      <c r="C26"/>
      <c r="D26" s="4"/>
      <c r="E26"/>
      <c r="F26"/>
      <c r="G26"/>
      <c r="H26"/>
      <c r="I26"/>
    </row>
    <row r="28" spans="1:13">
      <c r="A28" s="171" t="s">
        <v>160</v>
      </c>
    </row>
    <row r="29" spans="1:13" ht="10.5">
      <c r="E29" s="172">
        <f>E4</f>
        <v>2017</v>
      </c>
      <c r="F29" s="172">
        <f>F4</f>
        <v>2018</v>
      </c>
      <c r="G29" s="172">
        <f>G4</f>
        <v>2019</v>
      </c>
      <c r="H29" s="172">
        <f>H4</f>
        <v>2020</v>
      </c>
      <c r="I29" s="172">
        <f>I4</f>
        <v>2021</v>
      </c>
    </row>
    <row r="30" spans="1:13" ht="10.5">
      <c r="A30" s="175" t="s">
        <v>161</v>
      </c>
    </row>
    <row r="31" spans="1:13">
      <c r="A31" s="169" t="s">
        <v>162</v>
      </c>
      <c r="E31" s="179">
        <f ca="1">AVERAGE(D20:E20)</f>
        <v>0</v>
      </c>
      <c r="F31" s="179">
        <f t="shared" ref="F31:I31" ca="1" si="7">AVERAGE(E20:F20)</f>
        <v>0</v>
      </c>
      <c r="G31" s="179">
        <f t="shared" ca="1" si="7"/>
        <v>0</v>
      </c>
      <c r="H31" s="179">
        <f t="shared" ca="1" si="7"/>
        <v>0</v>
      </c>
      <c r="I31" s="179">
        <f t="shared" ca="1" si="7"/>
        <v>0</v>
      </c>
    </row>
    <row r="32" spans="1:13">
      <c r="A32" s="169" t="s">
        <v>163</v>
      </c>
      <c r="E32" s="180">
        <v>6.5000000000000002E-2</v>
      </c>
      <c r="F32" s="180">
        <v>6.5000000000000002E-2</v>
      </c>
      <c r="G32" s="180">
        <v>6.5000000000000002E-2</v>
      </c>
      <c r="H32" s="180">
        <v>6.5000000000000002E-2</v>
      </c>
      <c r="I32" s="180">
        <v>6.5000000000000002E-2</v>
      </c>
    </row>
    <row r="33" spans="1:9">
      <c r="A33" s="169" t="s">
        <v>58</v>
      </c>
      <c r="E33" s="179">
        <f ca="1">E31*E32</f>
        <v>0</v>
      </c>
      <c r="F33" s="179">
        <f t="shared" ref="F33:I33" ca="1" si="8">F31*F32</f>
        <v>0</v>
      </c>
      <c r="G33" s="179">
        <f t="shared" ca="1" si="8"/>
        <v>0</v>
      </c>
      <c r="H33" s="179">
        <f t="shared" ca="1" si="8"/>
        <v>0</v>
      </c>
      <c r="I33" s="179">
        <f t="shared" ca="1" si="8"/>
        <v>0</v>
      </c>
    </row>
    <row r="34" spans="1:9">
      <c r="E34" s="179"/>
      <c r="F34" s="179"/>
      <c r="G34" s="179"/>
      <c r="H34" s="179"/>
      <c r="I34" s="179"/>
    </row>
    <row r="35" spans="1:9" ht="10.5">
      <c r="A35" s="175" t="s">
        <v>91</v>
      </c>
    </row>
    <row r="36" spans="1:9">
      <c r="A36" s="169" t="s">
        <v>162</v>
      </c>
      <c r="E36" s="181">
        <f>AVERAGE(D25:E25)</f>
        <v>337992</v>
      </c>
      <c r="F36" s="181">
        <f t="shared" ref="F36:I36" si="9">AVERAGE(E25:F25)</f>
        <v>412992</v>
      </c>
      <c r="G36" s="181">
        <f t="shared" si="9"/>
        <v>378709</v>
      </c>
      <c r="H36" s="181">
        <f t="shared" si="9"/>
        <v>344426</v>
      </c>
      <c r="I36" s="181">
        <f t="shared" si="9"/>
        <v>319426</v>
      </c>
    </row>
    <row r="37" spans="1:9">
      <c r="A37" s="169" t="s">
        <v>164</v>
      </c>
      <c r="E37" s="182">
        <v>3.8899999999999997E-2</v>
      </c>
      <c r="F37" s="182">
        <v>3.8899999999999997E-2</v>
      </c>
      <c r="G37" s="182">
        <v>3.8899999999999997E-2</v>
      </c>
      <c r="H37" s="182">
        <v>3.8899999999999997E-2</v>
      </c>
      <c r="I37" s="182">
        <v>3.8899999999999997E-2</v>
      </c>
    </row>
    <row r="38" spans="1:9">
      <c r="A38" s="169" t="s">
        <v>58</v>
      </c>
      <c r="E38" s="181">
        <f>E36*E37</f>
        <v>13147.888800000001</v>
      </c>
      <c r="F38" s="181">
        <f t="shared" ref="F38:I38" si="10">F36*F37</f>
        <v>16065.388800000001</v>
      </c>
      <c r="G38" s="181">
        <f t="shared" si="10"/>
        <v>14731.7801</v>
      </c>
      <c r="H38" s="181">
        <f t="shared" si="10"/>
        <v>13398.171399999999</v>
      </c>
      <c r="I38" s="181">
        <f t="shared" si="10"/>
        <v>12425.671399999999</v>
      </c>
    </row>
    <row r="40" spans="1:9" ht="10.5">
      <c r="A40" s="175" t="s">
        <v>165</v>
      </c>
      <c r="E40" s="183">
        <f ca="1">E33+E38</f>
        <v>13147.888800000001</v>
      </c>
      <c r="F40" s="183">
        <f t="shared" ref="F40:I40" ca="1" si="11">F33+F38</f>
        <v>16065.388800000001</v>
      </c>
      <c r="G40" s="183">
        <f t="shared" ca="1" si="11"/>
        <v>14731.7801</v>
      </c>
      <c r="H40" s="183">
        <f t="shared" ca="1" si="11"/>
        <v>13398.171399999999</v>
      </c>
      <c r="I40" s="183">
        <f t="shared" ca="1" si="11"/>
        <v>12425.671399999999</v>
      </c>
    </row>
    <row r="42" spans="1:9" ht="10.5">
      <c r="A42" s="175" t="s">
        <v>166</v>
      </c>
      <c r="E42" s="179"/>
      <c r="F42" s="179"/>
      <c r="G42" s="179"/>
      <c r="H42" s="179"/>
      <c r="I42" s="179"/>
    </row>
    <row r="43" spans="1:9">
      <c r="A43" s="169" t="s">
        <v>162</v>
      </c>
      <c r="E43" s="181">
        <f ca="1">AVERAGE('Balance Sheet'!D8:E8)</f>
        <v>735810.84611238074</v>
      </c>
      <c r="F43" s="181">
        <f ca="1">AVERAGE('Balance Sheet'!E8:F8)</f>
        <v>979314.89004476392</v>
      </c>
      <c r="G43" s="181">
        <f ca="1">AVERAGE('Balance Sheet'!F8:G8)</f>
        <v>1054013.795833318</v>
      </c>
      <c r="H43" s="181">
        <f ca="1">AVERAGE('Balance Sheet'!G8:H8)</f>
        <v>1146433.8848813213</v>
      </c>
      <c r="I43" s="181">
        <f ca="1">AVERAGE('Balance Sheet'!H8:I8)</f>
        <v>1261528.1399872378</v>
      </c>
    </row>
    <row r="44" spans="1:9">
      <c r="A44" s="169" t="s">
        <v>163</v>
      </c>
      <c r="E44" s="180">
        <v>1.4999999999999999E-2</v>
      </c>
      <c r="F44" s="180">
        <v>1.4999999999999999E-2</v>
      </c>
      <c r="G44" s="180">
        <v>1.4999999999999999E-2</v>
      </c>
      <c r="H44" s="180">
        <v>1.4999999999999999E-2</v>
      </c>
      <c r="I44" s="180">
        <v>1.4999999999999999E-2</v>
      </c>
    </row>
    <row r="45" spans="1:9" ht="10.5">
      <c r="A45" s="169" t="s">
        <v>57</v>
      </c>
      <c r="E45" s="184">
        <f ca="1">E43*E44</f>
        <v>11037.162691685711</v>
      </c>
      <c r="F45" s="184">
        <f t="shared" ref="F45:I45" ca="1" si="12">F43*F44</f>
        <v>14689.723350671458</v>
      </c>
      <c r="G45" s="184">
        <f t="shared" ca="1" si="12"/>
        <v>15810.20693749977</v>
      </c>
      <c r="H45" s="184">
        <f t="shared" ca="1" si="12"/>
        <v>17196.508273219821</v>
      </c>
      <c r="I45" s="184">
        <f t="shared" ca="1" si="12"/>
        <v>18922.922099808566</v>
      </c>
    </row>
    <row r="47" spans="1:9" ht="10.5">
      <c r="A47" s="171" t="s">
        <v>167</v>
      </c>
      <c r="E47" s="172">
        <f>E29</f>
        <v>2017</v>
      </c>
      <c r="F47" s="172">
        <f>F29</f>
        <v>2018</v>
      </c>
      <c r="G47" s="172">
        <f>G29</f>
        <v>2019</v>
      </c>
      <c r="H47" s="172">
        <f>H29</f>
        <v>2020</v>
      </c>
      <c r="I47" s="172">
        <f>I29</f>
        <v>2021</v>
      </c>
    </row>
    <row r="49" spans="1:9">
      <c r="A49" s="4" t="s">
        <v>168</v>
      </c>
      <c r="D49" s="118"/>
      <c r="E49" s="173">
        <f>D53</f>
        <v>1252039</v>
      </c>
      <c r="F49" s="173">
        <f t="shared" ref="F49:I49" ca="1" si="13">E53</f>
        <v>1318911.5663447671</v>
      </c>
      <c r="G49" s="173">
        <f t="shared" ca="1" si="13"/>
        <v>1377665.7384220432</v>
      </c>
      <c r="H49" s="173">
        <f t="shared" ca="1" si="13"/>
        <v>1433479.0660482235</v>
      </c>
      <c r="I49" s="173">
        <f t="shared" ca="1" si="13"/>
        <v>1487479.3609124378</v>
      </c>
    </row>
    <row r="50" spans="1:9">
      <c r="A50" s="4" t="s">
        <v>169</v>
      </c>
      <c r="D50" s="118"/>
      <c r="E50" s="118">
        <f ca="1">'Income Statement'!E19</f>
        <v>78673.607464431698</v>
      </c>
      <c r="F50" s="118">
        <f ca="1">'Income Statement'!F19</f>
        <v>69122.55538503053</v>
      </c>
      <c r="G50" s="118">
        <f ca="1">'Income Statement'!G19</f>
        <v>65662.738383741496</v>
      </c>
      <c r="H50" s="118">
        <f ca="1">'Income Statement'!H19</f>
        <v>63529.758663781548</v>
      </c>
      <c r="I50" s="118">
        <f ca="1">'Income Statement'!I19</f>
        <v>62524.843651462303</v>
      </c>
    </row>
    <row r="51" spans="1:9">
      <c r="A51" s="4" t="s">
        <v>170</v>
      </c>
      <c r="D51" s="118"/>
      <c r="E51" s="118">
        <f ca="1">E7</f>
        <v>-11801.041119664755</v>
      </c>
      <c r="F51" s="118">
        <f t="shared" ref="F51:I51" ca="1" si="14">F7</f>
        <v>-10368.383307754579</v>
      </c>
      <c r="G51" s="118">
        <f t="shared" ca="1" si="14"/>
        <v>-9849.4107575612234</v>
      </c>
      <c r="H51" s="118">
        <f t="shared" ca="1" si="14"/>
        <v>-9529.463799567231</v>
      </c>
      <c r="I51" s="118">
        <f t="shared" ca="1" si="14"/>
        <v>-9378.726547719345</v>
      </c>
    </row>
    <row r="52" spans="1:9">
      <c r="A52" s="4" t="s">
        <v>171</v>
      </c>
      <c r="D52" s="174"/>
      <c r="E52" s="174">
        <f>E6</f>
        <v>0</v>
      </c>
      <c r="F52" s="174">
        <f t="shared" ref="F52:I52" si="15">F6</f>
        <v>0</v>
      </c>
      <c r="G52" s="174">
        <f t="shared" si="15"/>
        <v>0</v>
      </c>
      <c r="H52" s="174">
        <f t="shared" si="15"/>
        <v>0</v>
      </c>
      <c r="I52" s="174">
        <f t="shared" si="15"/>
        <v>0</v>
      </c>
    </row>
    <row r="53" spans="1:9" ht="10.5">
      <c r="A53" s="93" t="s">
        <v>172</v>
      </c>
      <c r="D53" s="176">
        <f>'Balance Sheet'!D39</f>
        <v>1252039</v>
      </c>
      <c r="E53" s="176">
        <f ca="1">SUM(E49:E52)</f>
        <v>1318911.5663447671</v>
      </c>
      <c r="F53" s="176">
        <f t="shared" ref="F53:I53" ca="1" si="16">SUM(F49:F52)</f>
        <v>1377665.7384220432</v>
      </c>
      <c r="G53" s="176">
        <f t="shared" ca="1" si="16"/>
        <v>1433479.0660482235</v>
      </c>
      <c r="H53" s="176">
        <f t="shared" ca="1" si="16"/>
        <v>1487479.3609124378</v>
      </c>
      <c r="I53" s="176">
        <f t="shared" ca="1" si="16"/>
        <v>1540625.4780161807</v>
      </c>
    </row>
  </sheetData>
  <phoneticPr fontId="45" type="noConversion"/>
  <pageMargins left="0.75" right="0.75" top="1" bottom="1" header="0.5" footer="0.5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showGridLines="0" workbookViewId="0">
      <selection activeCell="E15" sqref="E15"/>
    </sheetView>
  </sheetViews>
  <sheetFormatPr defaultColWidth="9" defaultRowHeight="12.5"/>
  <cols>
    <col min="1" max="1" width="24.7265625" customWidth="1"/>
    <col min="5" max="5" width="9.08984375" customWidth="1"/>
    <col min="7" max="7" width="9" customWidth="1"/>
  </cols>
  <sheetData>
    <row r="1" spans="1:11" ht="18">
      <c r="A1" s="104" t="str">
        <f>Assumptions!D6</f>
        <v>Abercrombie &amp; Fitch Co.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3" spans="1:11" ht="15.5">
      <c r="A3" s="155" t="s">
        <v>173</v>
      </c>
    </row>
    <row r="4" spans="1:11">
      <c r="A4" s="156" t="str">
        <f>"(Dollars in "&amp;IF(Assumptions!$D$8=0,"Thousands","Millions")&amp;")"</f>
        <v>(Dollars in Thousands)</v>
      </c>
    </row>
    <row r="6" spans="1:11" ht="13">
      <c r="B6" s="157" t="s">
        <v>174</v>
      </c>
      <c r="C6" s="157" t="s">
        <v>175</v>
      </c>
      <c r="D6" s="157" t="s">
        <v>176</v>
      </c>
      <c r="E6" s="157"/>
      <c r="F6" s="4"/>
      <c r="G6" s="158">
        <f>'Income Statement'!E6</f>
        <v>2017</v>
      </c>
      <c r="H6" s="158">
        <f>'Income Statement'!F6</f>
        <v>2018</v>
      </c>
      <c r="I6" s="158">
        <f>'Income Statement'!G6</f>
        <v>2019</v>
      </c>
      <c r="J6" s="158">
        <f>'Income Statement'!H6</f>
        <v>2020</v>
      </c>
      <c r="K6" s="158">
        <f>'Income Statement'!I6</f>
        <v>2021</v>
      </c>
    </row>
    <row r="7" spans="1:11">
      <c r="A7" s="4" t="s">
        <v>177</v>
      </c>
      <c r="B7" s="159">
        <f>'Balance Sheet'!D15</f>
        <v>824738</v>
      </c>
      <c r="C7" s="160">
        <v>0</v>
      </c>
      <c r="D7" s="161">
        <v>5</v>
      </c>
      <c r="E7" s="162"/>
      <c r="F7" s="4">
        <f>'Balance Sheet'!E6</f>
        <v>2017</v>
      </c>
      <c r="G7" s="163">
        <f>IF(AND($F7&lt;=G$6,$F7+$D7&gt;G$6),SLN($B7,$B7*$C7,$D7),0)</f>
        <v>164947.6</v>
      </c>
      <c r="H7" s="163">
        <f t="shared" ref="H7:K12" si="0">IF(AND($F7&lt;=H$6,$F7+$D7&gt;H$6),SLN($B7,$B7*$C7,$D7),0)</f>
        <v>164947.6</v>
      </c>
      <c r="I7" s="163">
        <f t="shared" si="0"/>
        <v>164947.6</v>
      </c>
      <c r="J7" s="163">
        <f t="shared" si="0"/>
        <v>164947.6</v>
      </c>
      <c r="K7" s="163">
        <f t="shared" si="0"/>
        <v>164947.6</v>
      </c>
    </row>
    <row r="8" spans="1:11">
      <c r="A8" s="164" t="s">
        <v>178</v>
      </c>
      <c r="B8" s="165">
        <v>140000</v>
      </c>
      <c r="C8" s="160">
        <v>0.05</v>
      </c>
      <c r="D8" s="161">
        <v>10</v>
      </c>
      <c r="E8" s="162"/>
      <c r="F8" s="4">
        <f>G6</f>
        <v>2017</v>
      </c>
      <c r="G8" s="163">
        <f>IF(AND($F8&lt;=G$6,$F8+$D8&gt;G$6),SLN($B8,$B8*$C8,$D8),0)</f>
        <v>13300</v>
      </c>
      <c r="H8" s="163">
        <f t="shared" si="0"/>
        <v>13300</v>
      </c>
      <c r="I8" s="163">
        <f t="shared" si="0"/>
        <v>13300</v>
      </c>
      <c r="J8" s="163">
        <f t="shared" si="0"/>
        <v>13300</v>
      </c>
      <c r="K8" s="163">
        <f t="shared" si="0"/>
        <v>13300</v>
      </c>
    </row>
    <row r="9" spans="1:11">
      <c r="A9" s="164" t="s">
        <v>179</v>
      </c>
      <c r="B9" s="165">
        <v>135000</v>
      </c>
      <c r="C9" s="160">
        <v>0.05</v>
      </c>
      <c r="D9" s="161">
        <v>10</v>
      </c>
      <c r="E9" s="162"/>
      <c r="F9" s="4">
        <f>H6</f>
        <v>2018</v>
      </c>
      <c r="G9" s="163">
        <f t="shared" ref="G9:G12" si="1">IF(AND($F9&lt;=G$6,$F9+$D9&gt;G$6),SLN($B9,$B9*$C9,$D9),0)</f>
        <v>0</v>
      </c>
      <c r="H9" s="163">
        <f>IF(AND($F9&lt;=H$6,$F9+$D9&gt;H$6),SLN($B9,$B9*$C9,$D9),0)</f>
        <v>12825</v>
      </c>
      <c r="I9" s="163">
        <f t="shared" si="0"/>
        <v>12825</v>
      </c>
      <c r="J9" s="163">
        <f t="shared" si="0"/>
        <v>12825</v>
      </c>
      <c r="K9" s="163">
        <f t="shared" si="0"/>
        <v>12825</v>
      </c>
    </row>
    <row r="10" spans="1:11">
      <c r="A10" s="164" t="s">
        <v>180</v>
      </c>
      <c r="B10" s="165">
        <v>130000</v>
      </c>
      <c r="C10" s="160">
        <v>0.05</v>
      </c>
      <c r="D10" s="161">
        <v>15</v>
      </c>
      <c r="E10" s="162"/>
      <c r="F10" s="4">
        <f>I6</f>
        <v>2019</v>
      </c>
      <c r="G10" s="163">
        <f t="shared" si="1"/>
        <v>0</v>
      </c>
      <c r="H10" s="163">
        <f t="shared" si="0"/>
        <v>0</v>
      </c>
      <c r="I10" s="163">
        <f t="shared" si="0"/>
        <v>8233.3333333333303</v>
      </c>
      <c r="J10" s="163">
        <f t="shared" si="0"/>
        <v>8233.3333333333303</v>
      </c>
      <c r="K10" s="163">
        <f t="shared" si="0"/>
        <v>8233.3333333333303</v>
      </c>
    </row>
    <row r="11" spans="1:11">
      <c r="A11" s="164" t="s">
        <v>181</v>
      </c>
      <c r="B11" s="165">
        <v>130000</v>
      </c>
      <c r="C11" s="160">
        <v>0.05</v>
      </c>
      <c r="D11" s="161">
        <v>15</v>
      </c>
      <c r="E11" s="162"/>
      <c r="F11" s="4">
        <f>J6</f>
        <v>2020</v>
      </c>
      <c r="G11" s="163">
        <f t="shared" si="1"/>
        <v>0</v>
      </c>
      <c r="H11" s="163">
        <f t="shared" si="0"/>
        <v>0</v>
      </c>
      <c r="I11" s="163">
        <f t="shared" si="0"/>
        <v>0</v>
      </c>
      <c r="J11" s="163">
        <f t="shared" si="0"/>
        <v>8233.3333333333303</v>
      </c>
      <c r="K11" s="163">
        <f t="shared" si="0"/>
        <v>8233.3333333333303</v>
      </c>
    </row>
    <row r="12" spans="1:11">
      <c r="A12" s="164" t="s">
        <v>182</v>
      </c>
      <c r="B12" s="165">
        <v>130000</v>
      </c>
      <c r="C12" s="160">
        <v>0.05</v>
      </c>
      <c r="D12" s="161">
        <v>15</v>
      </c>
      <c r="E12" s="162"/>
      <c r="F12" s="4">
        <f>K6</f>
        <v>2021</v>
      </c>
      <c r="G12" s="163">
        <f t="shared" si="1"/>
        <v>0</v>
      </c>
      <c r="H12" s="163">
        <f t="shared" si="0"/>
        <v>0</v>
      </c>
      <c r="I12" s="163">
        <f t="shared" si="0"/>
        <v>0</v>
      </c>
      <c r="J12" s="163">
        <f t="shared" si="0"/>
        <v>0</v>
      </c>
      <c r="K12" s="163">
        <f t="shared" si="0"/>
        <v>8233.3333333333303</v>
      </c>
    </row>
    <row r="13" spans="1:11">
      <c r="A13" s="4"/>
      <c r="B13" s="4"/>
      <c r="C13" s="4"/>
      <c r="D13" s="4"/>
      <c r="E13" s="4"/>
      <c r="F13" s="4"/>
      <c r="G13" s="355">
        <f>SUM(G7:G12)</f>
        <v>178247.6</v>
      </c>
      <c r="H13" s="355">
        <f t="shared" ref="H13:K13" si="2">SUM(H7:H12)</f>
        <v>191072.6</v>
      </c>
      <c r="I13" s="355">
        <f t="shared" si="2"/>
        <v>199305.933333333</v>
      </c>
      <c r="J13" s="355">
        <f t="shared" si="2"/>
        <v>207539.26666666701</v>
      </c>
      <c r="K13" s="355">
        <f t="shared" si="2"/>
        <v>215772.6</v>
      </c>
    </row>
    <row r="14" spans="1:11">
      <c r="A14" s="4"/>
      <c r="B14" s="4"/>
      <c r="C14" s="4"/>
      <c r="D14" s="4"/>
      <c r="E14" s="4"/>
    </row>
    <row r="15" spans="1:11">
      <c r="A15" s="4"/>
      <c r="B15" s="4"/>
      <c r="C15" s="4"/>
      <c r="D15" s="4"/>
      <c r="E15" s="4"/>
    </row>
    <row r="16" spans="1:11">
      <c r="A16" s="4"/>
      <c r="B16" s="4"/>
      <c r="C16" s="4"/>
      <c r="D16" s="4"/>
      <c r="E16" s="4"/>
    </row>
    <row r="17" spans="1:11">
      <c r="A17" s="4"/>
      <c r="B17" s="4"/>
      <c r="G17" s="158">
        <f>G6</f>
        <v>2017</v>
      </c>
      <c r="H17" s="158">
        <f>H6</f>
        <v>2018</v>
      </c>
      <c r="I17" s="158">
        <f>I6</f>
        <v>2019</v>
      </c>
      <c r="J17" s="158">
        <f>J6</f>
        <v>2020</v>
      </c>
      <c r="K17" s="158">
        <f>K6</f>
        <v>2021</v>
      </c>
    </row>
    <row r="18" spans="1:11">
      <c r="B18" s="4"/>
      <c r="E18" s="4" t="s">
        <v>183</v>
      </c>
      <c r="G18" s="166">
        <f>B7</f>
        <v>824738</v>
      </c>
      <c r="H18" s="166">
        <f>G21</f>
        <v>786490.4</v>
      </c>
      <c r="I18" s="166">
        <f t="shared" ref="I18:K18" si="3">H21</f>
        <v>730417.8</v>
      </c>
      <c r="J18" s="166">
        <f t="shared" si="3"/>
        <v>661111.86666666705</v>
      </c>
      <c r="K18" s="166">
        <f t="shared" si="3"/>
        <v>583572.6</v>
      </c>
    </row>
    <row r="19" spans="1:11">
      <c r="B19" s="4"/>
      <c r="E19" s="4" t="s">
        <v>184</v>
      </c>
      <c r="G19" s="167" cm="1">
        <f t="array" ref="G19:K19">TRANSPOSE(B8:B12)</f>
        <v>140000</v>
      </c>
      <c r="H19" s="167">
        <v>135000</v>
      </c>
      <c r="I19" s="167">
        <v>130000</v>
      </c>
      <c r="J19" s="167">
        <v>130000</v>
      </c>
      <c r="K19" s="167">
        <v>130000</v>
      </c>
    </row>
    <row r="20" spans="1:11">
      <c r="B20" s="4"/>
      <c r="E20" s="4" t="s">
        <v>185</v>
      </c>
      <c r="G20" s="168">
        <f>-G13</f>
        <v>-178247.6</v>
      </c>
      <c r="H20" s="168">
        <f>-H13</f>
        <v>-191072.6</v>
      </c>
      <c r="I20" s="168">
        <f>-I13</f>
        <v>-199305.933333333</v>
      </c>
      <c r="J20" s="168">
        <f>-J13</f>
        <v>-207539.26666666701</v>
      </c>
      <c r="K20" s="168">
        <f>-K13</f>
        <v>-215772.6</v>
      </c>
    </row>
    <row r="21" spans="1:11">
      <c r="B21" s="4"/>
      <c r="E21" s="93" t="s">
        <v>186</v>
      </c>
      <c r="G21" s="354">
        <f>SUM(G18:G20)</f>
        <v>786490.4</v>
      </c>
      <c r="H21" s="354">
        <f t="shared" ref="H21:K21" si="4">SUM(H18:H20)</f>
        <v>730417.8</v>
      </c>
      <c r="I21" s="354">
        <f t="shared" si="4"/>
        <v>661111.86666666705</v>
      </c>
      <c r="J21" s="354">
        <f t="shared" si="4"/>
        <v>583572.6</v>
      </c>
      <c r="K21" s="354">
        <f t="shared" si="4"/>
        <v>497800</v>
      </c>
    </row>
  </sheetData>
  <phoneticPr fontId="45" type="noConversion"/>
  <pageMargins left="0.75" right="0.75" top="1" bottom="1" header="0.5" footer="0.5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76"/>
  <sheetViews>
    <sheetView showGridLines="0" workbookViewId="0">
      <selection activeCell="D31" sqref="D31"/>
    </sheetView>
  </sheetViews>
  <sheetFormatPr defaultColWidth="8.81640625" defaultRowHeight="10"/>
  <cols>
    <col min="1" max="1" width="24.08984375" style="102" customWidth="1"/>
    <col min="2" max="2" width="15.6328125" style="103" customWidth="1"/>
    <col min="3" max="9" width="12.6328125" style="103" customWidth="1"/>
    <col min="10" max="10" width="9.81640625" style="103" customWidth="1"/>
    <col min="11" max="11" width="8.81640625" style="103"/>
    <col min="12" max="12" width="4.36328125" style="103" customWidth="1"/>
    <col min="13" max="16384" width="8.81640625" style="103"/>
  </cols>
  <sheetData>
    <row r="1" spans="1:12" ht="18">
      <c r="A1" s="104" t="str">
        <f>Assumptions!D6</f>
        <v>Abercrombie &amp; Fitch Co.</v>
      </c>
      <c r="B1" s="104"/>
      <c r="C1" s="104"/>
      <c r="D1" s="104"/>
      <c r="E1" s="104"/>
      <c r="F1" s="104"/>
      <c r="G1" s="104"/>
      <c r="H1" s="104"/>
      <c r="I1" s="104"/>
      <c r="J1"/>
      <c r="K1"/>
      <c r="L1"/>
    </row>
    <row r="2" spans="1:12" ht="12" customHeight="1">
      <c r="A2" s="105"/>
      <c r="I2"/>
      <c r="J2"/>
      <c r="K2"/>
      <c r="L2"/>
    </row>
    <row r="3" spans="1:12" ht="12" customHeight="1">
      <c r="A3" s="106" t="s">
        <v>187</v>
      </c>
      <c r="D3"/>
      <c r="E3"/>
      <c r="F3"/>
      <c r="G3"/>
      <c r="H3"/>
      <c r="I3"/>
      <c r="J3"/>
      <c r="K3"/>
      <c r="L3"/>
    </row>
    <row r="4" spans="1:12" ht="12" customHeight="1">
      <c r="A4" s="107" t="str">
        <f>"(Dollars in "&amp;IF(Assumptions!$D$8=0,"Thousands","Millions")&amp;" Except Per Share Data)"</f>
        <v>(Dollars in Thousands Except Per Share Data)</v>
      </c>
      <c r="B4" s="108"/>
      <c r="C4" s="108"/>
      <c r="D4"/>
      <c r="E4"/>
      <c r="F4"/>
      <c r="G4"/>
      <c r="H4"/>
      <c r="I4"/>
      <c r="J4"/>
      <c r="K4"/>
      <c r="L4"/>
    </row>
    <row r="5" spans="1:12" ht="12" customHeight="1">
      <c r="A5" s="105"/>
      <c r="D5"/>
      <c r="E5"/>
      <c r="F5"/>
      <c r="G5"/>
      <c r="H5"/>
      <c r="I5"/>
      <c r="J5"/>
      <c r="K5"/>
      <c r="L5"/>
    </row>
    <row r="6" spans="1:12" ht="12" customHeight="1">
      <c r="A6" s="109" t="s">
        <v>188</v>
      </c>
      <c r="B6" s="110"/>
      <c r="D6"/>
      <c r="E6"/>
      <c r="F6"/>
      <c r="G6"/>
      <c r="H6"/>
      <c r="I6"/>
      <c r="J6"/>
      <c r="K6"/>
      <c r="L6"/>
    </row>
    <row r="7" spans="1:12" ht="12" customHeight="1">
      <c r="A7" s="105" t="s">
        <v>189</v>
      </c>
      <c r="B7" s="111">
        <f>Assumptions!E79</f>
        <v>68100</v>
      </c>
      <c r="D7"/>
      <c r="E7"/>
      <c r="F7"/>
      <c r="G7"/>
      <c r="H7"/>
      <c r="I7"/>
      <c r="J7"/>
      <c r="K7"/>
      <c r="L7"/>
    </row>
    <row r="8" spans="1:12" ht="12" customHeight="1">
      <c r="A8" s="105" t="s">
        <v>190</v>
      </c>
      <c r="B8" s="112">
        <f>B30</f>
        <v>0.10388</v>
      </c>
      <c r="D8"/>
      <c r="E8"/>
      <c r="F8"/>
      <c r="G8"/>
      <c r="H8"/>
      <c r="I8"/>
      <c r="J8"/>
      <c r="K8"/>
      <c r="L8"/>
    </row>
    <row r="9" spans="1:12" ht="12" customHeight="1">
      <c r="A9" s="105" t="str">
        <f>A31</f>
        <v>Terminal growth rate</v>
      </c>
      <c r="B9" s="113">
        <f>B31</f>
        <v>0.01</v>
      </c>
      <c r="D9"/>
      <c r="E9"/>
      <c r="F9"/>
      <c r="G9"/>
      <c r="H9"/>
      <c r="I9"/>
      <c r="J9"/>
      <c r="K9"/>
      <c r="L9"/>
    </row>
    <row r="10" spans="1:12" ht="12" customHeight="1">
      <c r="A10" s="105"/>
      <c r="D10"/>
      <c r="E10"/>
      <c r="F10"/>
      <c r="G10"/>
      <c r="H10"/>
      <c r="I10"/>
      <c r="J10"/>
      <c r="K10"/>
      <c r="L10"/>
    </row>
    <row r="11" spans="1:12" ht="12" customHeight="1">
      <c r="A11" s="105"/>
      <c r="D11"/>
      <c r="E11"/>
      <c r="F11"/>
      <c r="G11"/>
      <c r="I11"/>
      <c r="J11"/>
      <c r="K11"/>
      <c r="L11"/>
    </row>
    <row r="12" spans="1:12" ht="12" customHeight="1">
      <c r="A12" s="109" t="s">
        <v>191</v>
      </c>
      <c r="B12" s="109"/>
      <c r="C12" s="109"/>
      <c r="D12" s="109"/>
      <c r="E12" s="109"/>
      <c r="F12" s="109"/>
      <c r="G12" s="109"/>
      <c r="H12"/>
      <c r="I12"/>
      <c r="J12"/>
      <c r="K12"/>
      <c r="L12"/>
    </row>
    <row r="13" spans="1:12" s="101" customFormat="1" ht="12" customHeight="1">
      <c r="A13" s="114"/>
      <c r="B13" s="115"/>
      <c r="C13" s="116">
        <f>'Income Statement'!E6</f>
        <v>2017</v>
      </c>
      <c r="D13" s="116">
        <f>'Income Statement'!F6</f>
        <v>2018</v>
      </c>
      <c r="E13" s="116">
        <f>'Income Statement'!G6</f>
        <v>2019</v>
      </c>
      <c r="F13" s="116">
        <f>'Income Statement'!H6</f>
        <v>2020</v>
      </c>
      <c r="G13" s="116">
        <f>'Income Statement'!I6</f>
        <v>2021</v>
      </c>
      <c r="J13"/>
      <c r="K13"/>
      <c r="L13"/>
    </row>
    <row r="14" spans="1:12" ht="12" customHeight="1">
      <c r="A14" s="4" t="s">
        <v>192</v>
      </c>
      <c r="B14" s="4"/>
      <c r="C14" s="117"/>
      <c r="D14" s="117">
        <f>'Income Statement'!F14</f>
        <v>88872.571000000098</v>
      </c>
      <c r="E14" s="117">
        <f>'Income Statement'!G14</f>
        <v>82038.963521666694</v>
      </c>
      <c r="F14" s="117">
        <f>'Income Statement'!H14</f>
        <v>76619.079156883396</v>
      </c>
      <c r="G14" s="117">
        <f>'Income Statement'!I14</f>
        <v>72648.121010903196</v>
      </c>
      <c r="H14" s="118"/>
      <c r="I14" s="118"/>
      <c r="J14"/>
      <c r="K14"/>
      <c r="L14"/>
    </row>
    <row r="15" spans="1:12" ht="12" customHeight="1">
      <c r="A15" s="4" t="s">
        <v>193</v>
      </c>
      <c r="B15" s="4"/>
      <c r="C15" s="119"/>
      <c r="D15" s="119">
        <f>Assumptions!F77</f>
        <v>0.21</v>
      </c>
      <c r="E15" s="119">
        <f>Assumptions!G77</f>
        <v>0.21</v>
      </c>
      <c r="F15" s="119">
        <f>Assumptions!H77</f>
        <v>0.21</v>
      </c>
      <c r="G15" s="119">
        <f>Assumptions!I77</f>
        <v>0.21</v>
      </c>
      <c r="H15" s="118"/>
      <c r="I15" s="118"/>
      <c r="J15"/>
      <c r="K15"/>
      <c r="L15"/>
    </row>
    <row r="16" spans="1:12" ht="12" customHeight="1">
      <c r="A16" s="93" t="s">
        <v>194</v>
      </c>
      <c r="B16" s="4"/>
      <c r="C16" s="120"/>
      <c r="D16" s="120">
        <f t="shared" ref="D16:G16" si="0">D14*(1-D15)</f>
        <v>70209.331090000094</v>
      </c>
      <c r="E16" s="120">
        <f t="shared" si="0"/>
        <v>64810.781182116698</v>
      </c>
      <c r="F16" s="120">
        <f t="shared" si="0"/>
        <v>60529.072533937797</v>
      </c>
      <c r="G16" s="120">
        <f t="shared" si="0"/>
        <v>57392.0155986135</v>
      </c>
      <c r="H16" s="118"/>
      <c r="I16" s="118"/>
      <c r="J16"/>
      <c r="K16"/>
      <c r="L16"/>
    </row>
    <row r="17" spans="1:12" ht="12" customHeight="1">
      <c r="A17" s="4" t="s">
        <v>195</v>
      </c>
      <c r="B17" s="4"/>
      <c r="C17" s="117"/>
      <c r="D17" s="117">
        <f>'Fixed Asset Schedule'!H13</f>
        <v>191072.6</v>
      </c>
      <c r="E17" s="117">
        <f>'Fixed Asset Schedule'!I13</f>
        <v>199305.933333333</v>
      </c>
      <c r="F17" s="117">
        <f>'Fixed Asset Schedule'!J13</f>
        <v>207539.26666666701</v>
      </c>
      <c r="G17" s="117">
        <f>'Fixed Asset Schedule'!K13</f>
        <v>215772.6</v>
      </c>
      <c r="H17" s="118"/>
      <c r="I17" s="118"/>
      <c r="J17"/>
      <c r="K17"/>
      <c r="L17"/>
    </row>
    <row r="18" spans="1:12" ht="12" customHeight="1">
      <c r="A18" s="4" t="s">
        <v>113</v>
      </c>
      <c r="B18" s="4"/>
      <c r="C18" s="117"/>
      <c r="D18" s="117">
        <f>-'Fixed Asset Schedule'!H19</f>
        <v>-135000</v>
      </c>
      <c r="E18" s="117">
        <f>-'Fixed Asset Schedule'!I19</f>
        <v>-130000</v>
      </c>
      <c r="F18" s="117">
        <f>-'Fixed Asset Schedule'!J19</f>
        <v>-130000</v>
      </c>
      <c r="G18" s="117">
        <f>-'Fixed Asset Schedule'!K19</f>
        <v>-130000</v>
      </c>
      <c r="H18" s="118"/>
      <c r="I18" s="118"/>
      <c r="J18"/>
      <c r="K18"/>
      <c r="L18"/>
    </row>
    <row r="19" spans="1:12" ht="12" customHeight="1">
      <c r="A19" s="4" t="s">
        <v>196</v>
      </c>
      <c r="B19" s="4"/>
      <c r="C19" s="117"/>
      <c r="D19" s="117">
        <f>SUM(SCF!C11:C17)</f>
        <v>14717.623562728731</v>
      </c>
      <c r="E19" s="117">
        <f>SUM(SCF!D11:D17)</f>
        <v>-11603.529097410035</v>
      </c>
      <c r="F19" s="117">
        <f>SUM(SCF!E11:E17)</f>
        <v>2427.7156372726668</v>
      </c>
      <c r="G19" s="117">
        <f>SUM(SCF!F11:F17)</f>
        <v>-158.60881180065613</v>
      </c>
      <c r="H19" s="118"/>
      <c r="I19" s="118"/>
      <c r="J19"/>
      <c r="K19"/>
      <c r="L19"/>
    </row>
    <row r="20" spans="1:12" ht="12" customHeight="1">
      <c r="A20" s="93" t="s">
        <v>197</v>
      </c>
      <c r="B20" s="4"/>
      <c r="C20" s="120"/>
      <c r="D20" s="120">
        <f t="shared" ref="D20:G20" si="1">SUM(D16:D19)</f>
        <v>140999.55465272881</v>
      </c>
      <c r="E20" s="120">
        <f t="shared" si="1"/>
        <v>122513.18541803968</v>
      </c>
      <c r="F20" s="120">
        <f t="shared" si="1"/>
        <v>140496.05483787748</v>
      </c>
      <c r="G20" s="120">
        <f t="shared" si="1"/>
        <v>143006.00678681285</v>
      </c>
      <c r="H20" s="118"/>
      <c r="I20" s="118"/>
      <c r="J20"/>
      <c r="K20"/>
      <c r="L20"/>
    </row>
    <row r="21" spans="1:12" ht="12" customHeight="1">
      <c r="A21" s="4" t="s">
        <v>198</v>
      </c>
      <c r="B21" s="4"/>
      <c r="C21" s="117">
        <f>C13-2017</f>
        <v>0</v>
      </c>
      <c r="D21" s="117">
        <f t="shared" ref="D21:G21" si="2">D13-2017</f>
        <v>1</v>
      </c>
      <c r="E21" s="117">
        <f t="shared" si="2"/>
        <v>2</v>
      </c>
      <c r="F21" s="117">
        <f t="shared" si="2"/>
        <v>3</v>
      </c>
      <c r="G21" s="117">
        <f t="shared" si="2"/>
        <v>4</v>
      </c>
      <c r="H21" s="118"/>
      <c r="I21" s="118"/>
      <c r="J21"/>
      <c r="K21"/>
      <c r="L21"/>
    </row>
    <row r="22" spans="1:12" ht="12" customHeight="1">
      <c r="A22" s="93" t="s">
        <v>199</v>
      </c>
      <c r="B22" s="4"/>
      <c r="C22" s="120">
        <f>C20/(1+$B$8)^C21</f>
        <v>0</v>
      </c>
      <c r="D22" s="120">
        <f t="shared" ref="D22:G22" si="3">D20/(1+$B$8)^D21</f>
        <v>127730.87170048268</v>
      </c>
      <c r="E22" s="120">
        <f t="shared" si="3"/>
        <v>100540.05121546893</v>
      </c>
      <c r="F22" s="120">
        <f t="shared" si="3"/>
        <v>104447.61669194723</v>
      </c>
      <c r="G22" s="120">
        <f t="shared" si="3"/>
        <v>96308.988184724818</v>
      </c>
      <c r="H22" s="118"/>
      <c r="I22" s="118"/>
      <c r="J22"/>
      <c r="K22"/>
      <c r="L22"/>
    </row>
    <row r="23" spans="1:12" ht="12" customHeight="1">
      <c r="A23" s="93" t="s">
        <v>200</v>
      </c>
      <c r="B23" s="4"/>
      <c r="C23" s="121"/>
      <c r="D23" s="122"/>
      <c r="E23" s="123"/>
      <c r="F23" s="123"/>
      <c r="G23" s="123">
        <f>B36</f>
        <v>1538517.968200692</v>
      </c>
      <c r="H23" s="118"/>
      <c r="I23" s="118"/>
      <c r="J23"/>
      <c r="K23"/>
      <c r="L23"/>
    </row>
    <row r="24" spans="1:12" ht="12" customHeight="1">
      <c r="A24" s="93"/>
      <c r="B24" s="4"/>
      <c r="C24" s="121"/>
      <c r="E24" s="118"/>
      <c r="F24" s="118"/>
      <c r="G24" s="118"/>
      <c r="H24" s="118"/>
      <c r="I24" s="118"/>
      <c r="J24"/>
      <c r="K24"/>
      <c r="L24"/>
    </row>
    <row r="25" spans="1:12" ht="12" customHeight="1">
      <c r="A25"/>
      <c r="B25"/>
      <c r="C25"/>
      <c r="D25"/>
    </row>
    <row r="26" spans="1:12" ht="12" customHeight="1">
      <c r="A26" s="109" t="s">
        <v>201</v>
      </c>
      <c r="B26" s="109"/>
      <c r="C26" s="124"/>
      <c r="D26"/>
    </row>
    <row r="27" spans="1:12" ht="12" customHeight="1">
      <c r="A27" s="102" t="s">
        <v>202</v>
      </c>
      <c r="B27" s="113">
        <v>0.12</v>
      </c>
      <c r="C27" s="102"/>
    </row>
    <row r="28" spans="1:12" ht="12" customHeight="1">
      <c r="A28" s="102" t="s">
        <v>203</v>
      </c>
      <c r="B28" s="125">
        <v>0.79200000000000004</v>
      </c>
    </row>
    <row r="29" spans="1:12" ht="12" customHeight="1">
      <c r="A29" s="102" t="s">
        <v>204</v>
      </c>
      <c r="B29" s="126">
        <v>4.2500000000000003E-2</v>
      </c>
      <c r="C29" s="127"/>
    </row>
    <row r="30" spans="1:12" ht="12" customHeight="1">
      <c r="A30" s="102" t="s">
        <v>190</v>
      </c>
      <c r="B30" s="128">
        <f>B27*B28+B29*(1-B28)</f>
        <v>0.10388</v>
      </c>
    </row>
    <row r="31" spans="1:12" ht="12" customHeight="1">
      <c r="A31" s="102" t="s">
        <v>205</v>
      </c>
      <c r="B31" s="129">
        <v>0.01</v>
      </c>
      <c r="G31" s="130"/>
    </row>
    <row r="32" spans="1:12" ht="12" customHeight="1">
      <c r="B32" s="131"/>
      <c r="G32" s="130"/>
    </row>
    <row r="33" spans="1:11" ht="12" customHeight="1">
      <c r="B33" s="131"/>
      <c r="G33" s="130"/>
    </row>
    <row r="34" spans="1:11" ht="12" customHeight="1">
      <c r="A34" s="109" t="s">
        <v>206</v>
      </c>
      <c r="B34" s="109"/>
      <c r="G34" s="130"/>
    </row>
    <row r="35" spans="1:11" ht="12" customHeight="1">
      <c r="A35" s="102" t="s">
        <v>207</v>
      </c>
      <c r="B35" s="132">
        <f>G20</f>
        <v>143006.00678681285</v>
      </c>
      <c r="G35" s="130"/>
    </row>
    <row r="36" spans="1:11" ht="12" customHeight="1">
      <c r="A36" s="102" t="s">
        <v>208</v>
      </c>
      <c r="B36" s="132">
        <f>B35*(1+B9)/(B8-B9)</f>
        <v>1538517.968200692</v>
      </c>
      <c r="G36" s="130"/>
    </row>
    <row r="37" spans="1:11" ht="12" customHeight="1">
      <c r="A37" s="102" t="s">
        <v>209</v>
      </c>
      <c r="B37" s="132">
        <f>B36/(1+B8)^G21</f>
        <v>1036132.0629161915</v>
      </c>
      <c r="G37" s="130"/>
    </row>
    <row r="38" spans="1:11" ht="12" customHeight="1">
      <c r="A38" s="102" t="s">
        <v>210</v>
      </c>
      <c r="B38" s="132">
        <f>SUM(C22:G22)</f>
        <v>429027.52779262367</v>
      </c>
      <c r="G38" s="130"/>
    </row>
    <row r="39" spans="1:11" ht="12" customHeight="1">
      <c r="A39" s="133" t="s">
        <v>211</v>
      </c>
      <c r="B39" s="134">
        <f>B37+B38</f>
        <v>1465159.5907088153</v>
      </c>
      <c r="G39" s="130"/>
    </row>
    <row r="40" spans="1:11" ht="12" customHeight="1">
      <c r="B40" s="135"/>
      <c r="G40" s="130"/>
    </row>
    <row r="41" spans="1:11" ht="12" customHeight="1">
      <c r="B41" s="135"/>
      <c r="G41" s="130"/>
    </row>
    <row r="42" spans="1:11" ht="12" customHeight="1">
      <c r="A42" s="109" t="s">
        <v>212</v>
      </c>
      <c r="B42" s="109"/>
      <c r="K42" s="137"/>
    </row>
    <row r="43" spans="1:11" ht="12" customHeight="1">
      <c r="A43" s="133" t="s">
        <v>211</v>
      </c>
      <c r="B43" s="136">
        <f>B39</f>
        <v>1465159.5907088153</v>
      </c>
      <c r="K43" s="137"/>
    </row>
    <row r="44" spans="1:11" ht="12" customHeight="1">
      <c r="A44" s="133" t="s">
        <v>213</v>
      </c>
      <c r="B44" s="136">
        <f ca="1">-(B45+B46)</f>
        <v>511440.69222476159</v>
      </c>
      <c r="D44" s="137"/>
      <c r="E44" s="137"/>
      <c r="F44" s="137"/>
      <c r="G44" s="137"/>
      <c r="H44" s="137"/>
      <c r="I44" s="137"/>
    </row>
    <row r="45" spans="1:11" ht="12" customHeight="1">
      <c r="A45" s="138" t="s">
        <v>214</v>
      </c>
      <c r="B45" s="139">
        <f ca="1">'Balance Sheet'!E27+'Balance Sheet'!E31+'Balance Sheet'!E32</f>
        <v>412992</v>
      </c>
      <c r="D45" s="137"/>
      <c r="E45" s="137"/>
      <c r="F45" s="137"/>
      <c r="G45" s="137"/>
      <c r="H45" s="137"/>
      <c r="I45" s="137"/>
    </row>
    <row r="46" spans="1:11" ht="12" customHeight="1">
      <c r="A46" s="138" t="s">
        <v>215</v>
      </c>
      <c r="B46" s="139">
        <f ca="1">-'Balance Sheet'!E8</f>
        <v>-924432.69222476159</v>
      </c>
      <c r="D46" s="137"/>
      <c r="E46" s="137"/>
      <c r="F46" s="137"/>
      <c r="G46" s="137"/>
      <c r="H46" s="137"/>
      <c r="I46" s="137"/>
    </row>
    <row r="47" spans="1:11" ht="12" customHeight="1">
      <c r="A47" s="133" t="s">
        <v>216</v>
      </c>
      <c r="B47" s="136">
        <f ca="1">B43+B44</f>
        <v>1976600.282933577</v>
      </c>
      <c r="D47" s="137"/>
      <c r="E47" s="137"/>
      <c r="F47" s="137"/>
      <c r="G47" s="137"/>
      <c r="H47" s="137"/>
      <c r="I47" s="137"/>
    </row>
    <row r="48" spans="1:11" ht="12" customHeight="1">
      <c r="A48" s="102" t="s">
        <v>189</v>
      </c>
      <c r="B48" s="139">
        <f>B7</f>
        <v>68100</v>
      </c>
      <c r="D48" s="137"/>
      <c r="E48" s="137"/>
      <c r="F48" s="137"/>
      <c r="G48" s="137"/>
      <c r="H48" s="137"/>
      <c r="I48" s="137"/>
    </row>
    <row r="49" spans="1:10" ht="12" customHeight="1">
      <c r="A49" s="133" t="s">
        <v>217</v>
      </c>
      <c r="B49" s="140">
        <f ca="1">B47/B48</f>
        <v>29.024967443958545</v>
      </c>
      <c r="D49" s="137"/>
      <c r="E49" s="137"/>
      <c r="F49" s="137"/>
      <c r="G49" s="137"/>
      <c r="H49" s="137"/>
      <c r="I49" s="137"/>
    </row>
    <row r="50" spans="1:10" ht="12" customHeight="1">
      <c r="D50" s="137"/>
      <c r="E50" s="137"/>
      <c r="F50" s="137"/>
      <c r="G50" s="137"/>
      <c r="H50" s="137"/>
      <c r="I50" s="137"/>
    </row>
    <row r="51" spans="1:10" ht="12" customHeight="1"/>
    <row r="52" spans="1:10" ht="12" customHeight="1">
      <c r="A52" s="141" t="s">
        <v>218</v>
      </c>
      <c r="B52" s="141"/>
      <c r="C52" s="141"/>
      <c r="D52" s="141"/>
      <c r="E52" s="141"/>
      <c r="F52" s="141"/>
      <c r="G52" s="141"/>
      <c r="H52" s="141"/>
      <c r="I52" s="141"/>
      <c r="J52" s="142"/>
    </row>
    <row r="53" spans="1:10" ht="12" customHeight="1">
      <c r="A53" s="142"/>
      <c r="B53" s="142"/>
      <c r="C53" s="142"/>
      <c r="D53" s="142"/>
      <c r="E53" s="142"/>
      <c r="F53" s="142"/>
      <c r="G53" s="142"/>
      <c r="H53" s="142"/>
      <c r="I53" s="142"/>
      <c r="J53" s="142"/>
    </row>
    <row r="54" spans="1:10" ht="12" customHeight="1">
      <c r="A54" s="133"/>
    </row>
    <row r="55" spans="1:10" ht="12" customHeight="1">
      <c r="A55" s="103"/>
      <c r="C55" s="410" t="s">
        <v>219</v>
      </c>
      <c r="D55" s="410"/>
      <c r="E55" s="410"/>
      <c r="F55" s="410"/>
      <c r="G55" s="410"/>
      <c r="H55" s="410"/>
      <c r="I55" s="154"/>
    </row>
    <row r="56" spans="1:10" customFormat="1" ht="12" customHeight="1">
      <c r="A56" s="103"/>
      <c r="B56" s="143"/>
      <c r="C56" s="130"/>
      <c r="D56" s="130"/>
      <c r="E56" s="130"/>
      <c r="F56" s="130"/>
      <c r="G56" s="130"/>
      <c r="H56" s="130"/>
      <c r="I56" s="130"/>
      <c r="J56" s="103"/>
    </row>
    <row r="57" spans="1:10" customFormat="1" ht="12" customHeight="1">
      <c r="A57" s="411" t="s">
        <v>190</v>
      </c>
      <c r="B57" s="130"/>
      <c r="C57" s="144">
        <f ca="1">$B$49</f>
        <v>29.024967443958545</v>
      </c>
      <c r="D57" s="145">
        <f>E57-0.25%</f>
        <v>5.0000000000000001E-3</v>
      </c>
      <c r="E57" s="145">
        <f>F57-0.25%</f>
        <v>7.4999999999999997E-3</v>
      </c>
      <c r="F57" s="145">
        <f>B31</f>
        <v>0.01</v>
      </c>
      <c r="G57" s="145">
        <f>F57+0.25%</f>
        <v>1.2500000000000001E-2</v>
      </c>
      <c r="H57" s="146">
        <f>G57+0.25%</f>
        <v>1.4999999999999999E-2</v>
      </c>
      <c r="I57" s="153"/>
      <c r="J57" s="103"/>
    </row>
    <row r="58" spans="1:10" customFormat="1" ht="12" customHeight="1">
      <c r="A58" s="411"/>
      <c r="B58" s="130"/>
      <c r="C58" s="147">
        <f>C59-0.5%</f>
        <v>9.3880000000000005E-2</v>
      </c>
      <c r="D58" s="148">
        <f t="dataTable" ref="D58:H62" dt2D="1" dtr="1" r1="B9" r2="B8" ca="1"/>
        <v>30.533290339146753</v>
      </c>
      <c r="E58" s="148">
        <v>31.055711650590592</v>
      </c>
      <c r="F58" s="148">
        <v>31.609273955801942</v>
      </c>
      <c r="G58" s="148">
        <v>32.196847216113518</v>
      </c>
      <c r="H58" s="149">
        <v>32.821665231769394</v>
      </c>
      <c r="I58" s="153"/>
      <c r="J58" s="103"/>
    </row>
    <row r="59" spans="1:10" customFormat="1" ht="12" customHeight="1">
      <c r="A59" s="411"/>
      <c r="B59" s="130"/>
      <c r="C59" s="147">
        <f>C60-0.5%</f>
        <v>9.8879999999999996E-2</v>
      </c>
      <c r="D59" s="148">
        <v>29.296024627270501</v>
      </c>
      <c r="E59" s="148">
        <v>29.757206400171565</v>
      </c>
      <c r="F59" s="148">
        <v>30.244332242205228</v>
      </c>
      <c r="G59" s="148">
        <v>30.75965476414359</v>
      </c>
      <c r="H59" s="149">
        <v>31.305695128352962</v>
      </c>
      <c r="I59" s="153"/>
      <c r="J59" s="103"/>
    </row>
    <row r="60" spans="1:10" customFormat="1" ht="12" customHeight="1">
      <c r="A60" s="411"/>
      <c r="B60" s="130"/>
      <c r="C60" s="147">
        <f>B30</f>
        <v>0.10388</v>
      </c>
      <c r="D60" s="148">
        <v>28.184095158130457</v>
      </c>
      <c r="E60" s="148">
        <v>28.593625611510522</v>
      </c>
      <c r="F60" s="148">
        <v>29.024967443958545</v>
      </c>
      <c r="G60" s="148">
        <v>29.479910821189232</v>
      </c>
      <c r="H60" s="149">
        <v>29.96044732270158</v>
      </c>
      <c r="I60" s="153"/>
      <c r="J60" s="103"/>
    </row>
    <row r="61" spans="1:10" ht="12" customHeight="1">
      <c r="A61" s="411"/>
      <c r="B61" s="130"/>
      <c r="C61" s="147">
        <f>C60+0.5%</f>
        <v>0.10888</v>
      </c>
      <c r="D61" s="148">
        <v>27.179399469914401</v>
      </c>
      <c r="E61" s="148">
        <v>27.545002088122558</v>
      </c>
      <c r="F61" s="148">
        <v>27.929091893740104</v>
      </c>
      <c r="G61" s="148">
        <v>28.333107503757816</v>
      </c>
      <c r="H61" s="149">
        <v>28.758640775152696</v>
      </c>
      <c r="I61" s="153"/>
    </row>
    <row r="62" spans="1:10" ht="12" customHeight="1">
      <c r="A62" s="411"/>
      <c r="B62" s="130"/>
      <c r="C62" s="150">
        <f>C61+0.5%</f>
        <v>0.11388</v>
      </c>
      <c r="D62" s="151">
        <v>26.267160415117871</v>
      </c>
      <c r="E62" s="151">
        <v>26.595122667178845</v>
      </c>
      <c r="F62" s="151">
        <v>26.938870549392927</v>
      </c>
      <c r="G62" s="151">
        <v>27.299571868291462</v>
      </c>
      <c r="H62" s="152">
        <v>27.678512533817155</v>
      </c>
      <c r="I62" s="153"/>
    </row>
    <row r="63" spans="1:10" ht="12" customHeight="1">
      <c r="A63" s="411"/>
      <c r="B63" s="130"/>
      <c r="C63" s="153"/>
      <c r="D63" s="153"/>
      <c r="E63" s="153"/>
      <c r="F63" s="153"/>
      <c r="G63" s="153"/>
      <c r="H63" s="153"/>
      <c r="I63" s="153"/>
    </row>
    <row r="64" spans="1:10" ht="12" customHeight="1">
      <c r="C64" s="130"/>
    </row>
    <row r="65" spans="1:10" ht="12.5">
      <c r="A65"/>
      <c r="B65"/>
      <c r="C65"/>
      <c r="D65"/>
      <c r="E65"/>
      <c r="F65"/>
      <c r="G65"/>
      <c r="H65"/>
      <c r="I65"/>
      <c r="J65"/>
    </row>
    <row r="66" spans="1:10" ht="12.5">
      <c r="A66"/>
      <c r="B66"/>
      <c r="C66"/>
      <c r="D66"/>
      <c r="E66"/>
      <c r="F66"/>
      <c r="G66"/>
      <c r="H66"/>
      <c r="I66"/>
      <c r="J66"/>
    </row>
    <row r="67" spans="1:10" ht="12.5">
      <c r="A67"/>
      <c r="B67"/>
      <c r="C67"/>
      <c r="D67"/>
      <c r="E67"/>
      <c r="F67"/>
      <c r="G67"/>
      <c r="H67"/>
      <c r="I67"/>
      <c r="J67"/>
    </row>
    <row r="68" spans="1:10" ht="12.5">
      <c r="A68"/>
      <c r="B68"/>
      <c r="C68"/>
      <c r="D68"/>
      <c r="E68"/>
      <c r="F68"/>
      <c r="G68"/>
      <c r="H68"/>
      <c r="I68"/>
      <c r="J68"/>
    </row>
    <row r="69" spans="1:10" ht="12.5">
      <c r="A69"/>
      <c r="B69"/>
      <c r="C69"/>
      <c r="D69"/>
      <c r="E69"/>
      <c r="F69"/>
      <c r="G69"/>
      <c r="H69"/>
      <c r="I69"/>
      <c r="J69"/>
    </row>
    <row r="70" spans="1:10" ht="12.5">
      <c r="A70"/>
      <c r="B70"/>
      <c r="C70"/>
      <c r="D70"/>
      <c r="E70"/>
      <c r="F70"/>
      <c r="G70"/>
      <c r="H70"/>
      <c r="I70"/>
      <c r="J70"/>
    </row>
    <row r="71" spans="1:10" ht="12.5">
      <c r="A71"/>
      <c r="B71"/>
      <c r="C71"/>
      <c r="D71"/>
      <c r="E71"/>
      <c r="F71"/>
      <c r="G71"/>
      <c r="H71"/>
      <c r="I71"/>
      <c r="J71"/>
    </row>
    <row r="72" spans="1:10" ht="12.5">
      <c r="A72"/>
      <c r="B72"/>
      <c r="C72"/>
      <c r="D72"/>
      <c r="E72"/>
      <c r="F72"/>
      <c r="G72"/>
      <c r="H72"/>
      <c r="I72"/>
      <c r="J72"/>
    </row>
    <row r="73" spans="1:10" ht="12.5">
      <c r="A73"/>
      <c r="B73"/>
      <c r="C73"/>
      <c r="D73"/>
      <c r="E73"/>
      <c r="F73"/>
      <c r="G73"/>
      <c r="H73"/>
      <c r="I73"/>
      <c r="J73"/>
    </row>
    <row r="74" spans="1:10" ht="12.5">
      <c r="A74"/>
      <c r="B74"/>
      <c r="C74"/>
      <c r="D74"/>
      <c r="E74"/>
      <c r="F74"/>
      <c r="G74"/>
      <c r="H74"/>
      <c r="I74"/>
      <c r="J74"/>
    </row>
    <row r="75" spans="1:10" ht="12.5">
      <c r="A75"/>
      <c r="B75"/>
      <c r="C75"/>
      <c r="D75"/>
      <c r="E75"/>
      <c r="F75"/>
      <c r="G75"/>
      <c r="H75"/>
      <c r="I75"/>
      <c r="J75"/>
    </row>
    <row r="76" spans="1:10" ht="12.5">
      <c r="A76"/>
      <c r="B76"/>
      <c r="C76"/>
      <c r="D76"/>
      <c r="E76"/>
      <c r="F76"/>
      <c r="G76"/>
      <c r="H76"/>
      <c r="I76"/>
      <c r="J76"/>
    </row>
  </sheetData>
  <mergeCells count="2">
    <mergeCell ref="C55:H55"/>
    <mergeCell ref="A57:A63"/>
  </mergeCells>
  <phoneticPr fontId="45" type="noConversion"/>
  <pageMargins left="0.75" right="0.75" top="1" bottom="1" header="0.5" footer="0.5"/>
  <pageSetup scale="58" orientation="portrait"/>
  <headerFooter alignWithMargins="0">
    <oddHeader>&amp;C&amp;F
Page 2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0"/>
  <sheetViews>
    <sheetView showGridLines="0" zoomScale="85" zoomScaleNormal="85" workbookViewId="0">
      <selection activeCell="D24" sqref="D24"/>
    </sheetView>
  </sheetViews>
  <sheetFormatPr defaultColWidth="9" defaultRowHeight="12.5"/>
  <cols>
    <col min="1" max="1" width="17.26953125" customWidth="1"/>
    <col min="2" max="2" width="25.08984375" customWidth="1"/>
    <col min="3" max="3" width="27.08984375" customWidth="1"/>
    <col min="4" max="4" width="27.26953125" customWidth="1"/>
    <col min="7" max="7" width="17.81640625" customWidth="1"/>
    <col min="8" max="8" width="10.7265625" customWidth="1"/>
    <col min="10" max="10" width="18.6328125" customWidth="1"/>
    <col min="13" max="13" width="14.26953125" customWidth="1"/>
    <col min="16" max="16" width="15" customWidth="1"/>
  </cols>
  <sheetData>
    <row r="1" spans="1:17" ht="18">
      <c r="A1" s="1" t="str">
        <f>Assumptions!D6</f>
        <v>Abercrombie &amp; Fitch Co.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5" spans="1:17">
      <c r="A5" s="3" t="s">
        <v>220</v>
      </c>
      <c r="B5" s="4"/>
      <c r="C5" s="4"/>
      <c r="D5" s="4"/>
    </row>
    <row r="6" spans="1:17">
      <c r="A6" s="4"/>
      <c r="B6" s="4"/>
      <c r="C6" s="4"/>
      <c r="D6" s="4"/>
    </row>
    <row r="7" spans="1:17">
      <c r="A7" s="412" t="s">
        <v>221</v>
      </c>
      <c r="B7" s="412"/>
      <c r="C7" s="412"/>
      <c r="D7" s="412"/>
    </row>
    <row r="8" spans="1:17">
      <c r="A8" s="77"/>
      <c r="B8" s="78" t="s">
        <v>222</v>
      </c>
      <c r="C8" s="79" t="s">
        <v>223</v>
      </c>
      <c r="D8" s="78" t="s">
        <v>224</v>
      </c>
      <c r="G8" s="80" t="s">
        <v>225</v>
      </c>
      <c r="H8" s="81" t="s">
        <v>226</v>
      </c>
      <c r="I8" s="92"/>
      <c r="J8" s="80" t="s">
        <v>227</v>
      </c>
      <c r="K8" s="81" t="s">
        <v>226</v>
      </c>
      <c r="L8" s="92"/>
      <c r="M8" s="80" t="s">
        <v>228</v>
      </c>
      <c r="N8" s="81" t="s">
        <v>226</v>
      </c>
      <c r="O8" s="92"/>
      <c r="P8" s="80" t="s">
        <v>229</v>
      </c>
      <c r="Q8" s="81" t="s">
        <v>226</v>
      </c>
    </row>
    <row r="9" spans="1:17">
      <c r="A9" s="82" t="s">
        <v>230</v>
      </c>
      <c r="B9" s="35" t="s">
        <v>231</v>
      </c>
      <c r="C9" s="34" t="s">
        <v>232</v>
      </c>
      <c r="D9" s="35" t="s">
        <v>233</v>
      </c>
      <c r="G9" s="83">
        <v>-9.9999999999999999E+306</v>
      </c>
      <c r="H9" s="84" t="s">
        <v>222</v>
      </c>
      <c r="I9" s="92"/>
      <c r="J9" s="83">
        <v>-9.9999999999999999E+306</v>
      </c>
      <c r="K9" s="97" t="s">
        <v>222</v>
      </c>
      <c r="L9" s="92"/>
      <c r="M9" s="83">
        <v>-9.9999999999999999E+306</v>
      </c>
      <c r="N9" s="97" t="s">
        <v>222</v>
      </c>
      <c r="O9" s="92"/>
      <c r="P9" s="83">
        <v>-9.9999999999999999E+306</v>
      </c>
      <c r="Q9" s="97" t="s">
        <v>222</v>
      </c>
    </row>
    <row r="10" spans="1:17">
      <c r="A10" s="82" t="s">
        <v>234</v>
      </c>
      <c r="B10" s="85" t="s">
        <v>235</v>
      </c>
      <c r="C10" s="13" t="s">
        <v>236</v>
      </c>
      <c r="D10" s="85" t="s">
        <v>237</v>
      </c>
      <c r="G10" s="86">
        <f>VALUE(_xlfn.TEXTBEFORE(C9," &lt;"))</f>
        <v>1.5</v>
      </c>
      <c r="H10" s="84" t="s">
        <v>223</v>
      </c>
      <c r="I10" s="92"/>
      <c r="J10" s="95">
        <f>VALUE(_xlfn.TEXTBEFORE(C10," &lt;"))</f>
        <v>0.1</v>
      </c>
      <c r="K10" s="97" t="s">
        <v>223</v>
      </c>
      <c r="L10" s="92"/>
      <c r="M10" s="95">
        <f>VALUE(_xlfn.TEXTBEFORE(C11," &lt;"))</f>
        <v>0.25</v>
      </c>
      <c r="N10" s="97" t="s">
        <v>223</v>
      </c>
      <c r="O10" s="92"/>
      <c r="P10" s="98">
        <f>VALUE(_xlfn.TEXTBEFORE(C12," &lt;"))</f>
        <v>3</v>
      </c>
      <c r="Q10" s="97" t="s">
        <v>223</v>
      </c>
    </row>
    <row r="11" spans="1:17">
      <c r="A11" s="82" t="s">
        <v>238</v>
      </c>
      <c r="B11" s="85" t="s">
        <v>239</v>
      </c>
      <c r="C11" s="13" t="s">
        <v>240</v>
      </c>
      <c r="D11" s="85" t="s">
        <v>237</v>
      </c>
      <c r="G11" s="87">
        <f>VALUE(_xlfn.TEXTAFTER(D9,"= "))</f>
        <v>2.5</v>
      </c>
      <c r="H11" s="88" t="s">
        <v>224</v>
      </c>
      <c r="I11" s="92"/>
      <c r="J11" s="96">
        <f>VALUE(_xlfn.TEXTAFTER(D10,"= "))</f>
        <v>0.5</v>
      </c>
      <c r="K11" s="99" t="s">
        <v>224</v>
      </c>
      <c r="L11" s="92"/>
      <c r="M11" s="96">
        <f>VALUE(_xlfn.TEXTAFTER(D11,"= "))</f>
        <v>0.5</v>
      </c>
      <c r="N11" s="99" t="s">
        <v>224</v>
      </c>
      <c r="O11" s="92"/>
      <c r="P11" s="100">
        <f>VALUE(_xlfn.TEXTAFTER(D12,"= "))</f>
        <v>10</v>
      </c>
      <c r="Q11" s="99" t="s">
        <v>224</v>
      </c>
    </row>
    <row r="12" spans="1:17">
      <c r="A12" s="89" t="s">
        <v>241</v>
      </c>
      <c r="B12" s="90" t="s">
        <v>242</v>
      </c>
      <c r="C12" s="91" t="s">
        <v>243</v>
      </c>
      <c r="D12" s="90" t="s">
        <v>244</v>
      </c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</row>
    <row r="13" spans="1:17">
      <c r="A13" s="93"/>
      <c r="B13" s="4"/>
      <c r="C13" s="4"/>
      <c r="D13" s="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</row>
    <row r="14" spans="1:17">
      <c r="A14" s="93"/>
      <c r="B14" s="4"/>
      <c r="C14" s="4"/>
      <c r="D14" s="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</row>
    <row r="15" spans="1:17">
      <c r="A15" s="412" t="s">
        <v>245</v>
      </c>
      <c r="B15" s="412"/>
      <c r="C15" s="412"/>
      <c r="D15" s="412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</row>
    <row r="16" spans="1:17">
      <c r="A16" s="77"/>
      <c r="B16" s="78" t="s">
        <v>246</v>
      </c>
      <c r="C16" s="79" t="s">
        <v>247</v>
      </c>
      <c r="D16" s="78" t="s">
        <v>248</v>
      </c>
      <c r="G16" s="80" t="s">
        <v>249</v>
      </c>
      <c r="H16" s="81" t="s">
        <v>226</v>
      </c>
      <c r="I16" s="92"/>
      <c r="J16" s="80" t="s">
        <v>250</v>
      </c>
      <c r="K16" s="81" t="s">
        <v>226</v>
      </c>
      <c r="L16" s="92"/>
      <c r="M16" s="80" t="s">
        <v>251</v>
      </c>
      <c r="N16" s="81" t="s">
        <v>226</v>
      </c>
      <c r="O16" s="92"/>
      <c r="P16" s="80" t="s">
        <v>252</v>
      </c>
      <c r="Q16" s="81" t="s">
        <v>226</v>
      </c>
    </row>
    <row r="17" spans="1:17">
      <c r="A17" s="82" t="s">
        <v>253</v>
      </c>
      <c r="B17" s="35" t="s">
        <v>254</v>
      </c>
      <c r="C17" s="34" t="s">
        <v>255</v>
      </c>
      <c r="D17" s="35" t="s">
        <v>256</v>
      </c>
      <c r="G17" s="83">
        <v>-9.9999999999999999E+306</v>
      </c>
      <c r="H17" s="84" t="s">
        <v>246</v>
      </c>
      <c r="I17" s="94"/>
      <c r="J17" s="83">
        <v>-9.9999999999999999E+306</v>
      </c>
      <c r="K17" s="97" t="s">
        <v>246</v>
      </c>
      <c r="L17" s="94"/>
      <c r="M17" s="83">
        <v>-9.9999999999999999E+306</v>
      </c>
      <c r="N17" s="97" t="s">
        <v>246</v>
      </c>
      <c r="O17" s="94"/>
      <c r="P17" s="83">
        <v>-9.9999999999999999E+306</v>
      </c>
      <c r="Q17" s="97" t="s">
        <v>246</v>
      </c>
    </row>
    <row r="18" spans="1:17">
      <c r="A18" s="82" t="s">
        <v>257</v>
      </c>
      <c r="B18" s="85" t="s">
        <v>258</v>
      </c>
      <c r="C18" s="13" t="s">
        <v>259</v>
      </c>
      <c r="D18" s="85" t="s">
        <v>260</v>
      </c>
      <c r="G18" s="95">
        <f>VALUE(_xlfn.TEXTBEFORE(C17," &lt;"))</f>
        <v>0.08</v>
      </c>
      <c r="H18" s="84" t="s">
        <v>247</v>
      </c>
      <c r="I18" s="94"/>
      <c r="J18" s="95">
        <f>VALUE(_xlfn.TEXTBEFORE(C18," &lt;"))</f>
        <v>0.02</v>
      </c>
      <c r="K18" s="97" t="s">
        <v>247</v>
      </c>
      <c r="L18" s="94"/>
      <c r="M18" s="95">
        <f>VALUE(_xlfn.TEXTBEFORE(C19," &lt;"))</f>
        <v>0.1</v>
      </c>
      <c r="N18" s="97" t="s">
        <v>247</v>
      </c>
      <c r="O18" s="94"/>
      <c r="P18" s="95">
        <f>VALUE(_xlfn.TEXTBEFORE(C20," &lt;"))</f>
        <v>0.05</v>
      </c>
      <c r="Q18" s="97" t="s">
        <v>247</v>
      </c>
    </row>
    <row r="19" spans="1:17">
      <c r="A19" s="82" t="s">
        <v>261</v>
      </c>
      <c r="B19" s="85" t="s">
        <v>235</v>
      </c>
      <c r="C19" s="13" t="s">
        <v>262</v>
      </c>
      <c r="D19" s="85" t="s">
        <v>263</v>
      </c>
      <c r="G19" s="96">
        <f>VALUE(_xlfn.TEXTAFTER(D17,"= "))</f>
        <v>0.12</v>
      </c>
      <c r="H19" s="88" t="s">
        <v>248</v>
      </c>
      <c r="I19" s="94"/>
      <c r="J19" s="96">
        <f>VALUE(_xlfn.TEXTAFTER(D18,"= "))</f>
        <v>7.0000000000000007E-2</v>
      </c>
      <c r="K19" s="99" t="s">
        <v>248</v>
      </c>
      <c r="L19" s="94"/>
      <c r="M19" s="96">
        <f>VALUE(_xlfn.TEXTAFTER(D19,"= "))</f>
        <v>0.2</v>
      </c>
      <c r="N19" s="99" t="s">
        <v>248</v>
      </c>
      <c r="O19" s="94"/>
      <c r="P19" s="96">
        <f>VALUE(_xlfn.TEXTAFTER(D20,"= "))</f>
        <v>0.15</v>
      </c>
      <c r="Q19" s="99" t="s">
        <v>248</v>
      </c>
    </row>
    <row r="20" spans="1:17">
      <c r="A20" s="89" t="s">
        <v>264</v>
      </c>
      <c r="B20" s="90" t="s">
        <v>265</v>
      </c>
      <c r="C20" s="91" t="s">
        <v>266</v>
      </c>
      <c r="D20" s="90" t="s">
        <v>267</v>
      </c>
    </row>
  </sheetData>
  <mergeCells count="2">
    <mergeCell ref="A7:D7"/>
    <mergeCell ref="A15:D15"/>
  </mergeCells>
  <phoneticPr fontId="45" type="noConversion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8"/>
  <sheetViews>
    <sheetView showGridLines="0" zoomScale="85" zoomScaleNormal="85" workbookViewId="0">
      <selection activeCell="H41" sqref="H41"/>
    </sheetView>
  </sheetViews>
  <sheetFormatPr defaultColWidth="9" defaultRowHeight="12.5"/>
  <cols>
    <col min="1" max="1" width="36.6328125" customWidth="1"/>
    <col min="8" max="8" width="45.36328125" customWidth="1"/>
    <col min="9" max="9" width="11.08984375" customWidth="1"/>
    <col min="10" max="10" width="10.7265625" customWidth="1"/>
    <col min="11" max="11" width="10.08984375" customWidth="1"/>
    <col min="12" max="12" width="10.7265625" customWidth="1"/>
    <col min="13" max="13" width="11.6328125" customWidth="1"/>
  </cols>
  <sheetData>
    <row r="1" spans="1:13" ht="18">
      <c r="A1" s="1" t="str">
        <f>Assumptions!D6</f>
        <v>Abercrombie &amp; Fitch Co.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spans="1:13">
      <c r="A4" s="3" t="s">
        <v>268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3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3">
      <c r="A6" s="20" t="s">
        <v>269</v>
      </c>
      <c r="B6" s="21">
        <f>'Income Statement'!E6</f>
        <v>2017</v>
      </c>
      <c r="C6" s="21">
        <f>'Income Statement'!F6</f>
        <v>2018</v>
      </c>
      <c r="D6" s="21">
        <f>'Income Statement'!G6</f>
        <v>2019</v>
      </c>
      <c r="E6" s="21">
        <f>'Income Statement'!H6</f>
        <v>2020</v>
      </c>
      <c r="F6" s="22">
        <f>'Income Statement'!I6</f>
        <v>2021</v>
      </c>
      <c r="G6" s="4"/>
      <c r="H6" s="23" t="s">
        <v>270</v>
      </c>
      <c r="I6" s="66">
        <f t="shared" ref="I6:M6" si="0">B6</f>
        <v>2017</v>
      </c>
      <c r="J6" s="66">
        <f t="shared" si="0"/>
        <v>2018</v>
      </c>
      <c r="K6" s="66">
        <f t="shared" si="0"/>
        <v>2019</v>
      </c>
      <c r="L6" s="66">
        <f t="shared" si="0"/>
        <v>2020</v>
      </c>
      <c r="M6" s="67">
        <f t="shared" si="0"/>
        <v>2021</v>
      </c>
    </row>
    <row r="7" spans="1:13">
      <c r="A7" s="24"/>
      <c r="B7" s="4"/>
      <c r="C7" s="4"/>
      <c r="D7" s="4"/>
      <c r="E7" s="4"/>
      <c r="F7" s="25"/>
      <c r="G7" s="4"/>
      <c r="H7" s="24"/>
      <c r="I7" s="34"/>
      <c r="J7" s="34"/>
      <c r="K7" s="34"/>
      <c r="L7" s="68"/>
      <c r="M7" s="69"/>
    </row>
    <row r="8" spans="1:13">
      <c r="A8" s="26" t="s">
        <v>230</v>
      </c>
      <c r="F8" s="27"/>
      <c r="G8" s="28"/>
      <c r="H8" s="26" t="s">
        <v>253</v>
      </c>
      <c r="I8" s="68"/>
      <c r="J8" s="68"/>
      <c r="K8" s="68"/>
      <c r="L8" s="68"/>
      <c r="M8" s="69"/>
    </row>
    <row r="9" spans="1:13">
      <c r="A9" s="29" t="s">
        <v>271</v>
      </c>
      <c r="B9" s="30">
        <f ca="1">'Balance Sheet'!E12/'Balance Sheet'!E28</f>
        <v>3.184862477951401</v>
      </c>
      <c r="C9" s="30">
        <f ca="1">'Balance Sheet'!F12/'Balance Sheet'!F28</f>
        <v>2.9056758730558849</v>
      </c>
      <c r="D9" s="30">
        <f ca="1">'Balance Sheet'!G12/'Balance Sheet'!G28</f>
        <v>3.4418620365640975</v>
      </c>
      <c r="E9" s="30">
        <f ca="1">'Balance Sheet'!H12/'Balance Sheet'!H28</f>
        <v>3.370823959903495</v>
      </c>
      <c r="F9" s="31">
        <f ca="1">'Balance Sheet'!I12/'Balance Sheet'!I28</f>
        <v>3.8362799814719635</v>
      </c>
      <c r="G9" s="4"/>
      <c r="H9" s="29" t="s">
        <v>272</v>
      </c>
      <c r="I9" s="70">
        <f ca="1">'Income Statement'!E19/'Balance Sheet'!E39</f>
        <v>5.9650403766241748E-2</v>
      </c>
      <c r="J9" s="70">
        <f ca="1">'Income Statement'!F19/'Balance Sheet'!F39</f>
        <v>5.0173676717984166E-2</v>
      </c>
      <c r="K9" s="70">
        <f ca="1">'Income Statement'!G19/'Balance Sheet'!G39</f>
        <v>4.5806555490732599E-2</v>
      </c>
      <c r="L9" s="70">
        <f ca="1">'Income Statement'!H19/'Balance Sheet'!H39</f>
        <v>4.2709674052090127E-2</v>
      </c>
      <c r="M9" s="71">
        <f ca="1">'Income Statement'!I19/'Balance Sheet'!I39</f>
        <v>4.0584064422960052E-2</v>
      </c>
    </row>
    <row r="10" spans="1:13">
      <c r="A10" s="29" t="s">
        <v>273</v>
      </c>
      <c r="B10" s="30">
        <f ca="1">('Balance Sheet'!E8+'Balance Sheet'!E9)/'Balance Sheet'!E28</f>
        <v>2.1102534189343132</v>
      </c>
      <c r="C10" s="30">
        <f ca="1">('Balance Sheet'!F8+'Balance Sheet'!F9)/'Balance Sheet'!F28</f>
        <v>2.0040487954723569</v>
      </c>
      <c r="D10" s="30">
        <f ca="1">('Balance Sheet'!G8+'Balance Sheet'!G9)/'Balance Sheet'!G28</f>
        <v>2.4001406767089053</v>
      </c>
      <c r="E10" s="30">
        <f ca="1">('Balance Sheet'!H8+'Balance Sheet'!H9)/'Balance Sheet'!H28</f>
        <v>2.421953783844442</v>
      </c>
      <c r="F10" s="31">
        <f ca="1">('Balance Sheet'!I8+'Balance Sheet'!I9)/'Balance Sheet'!I28</f>
        <v>2.7963363769386618</v>
      </c>
      <c r="G10" s="4"/>
      <c r="H10" s="26" t="s">
        <v>274</v>
      </c>
      <c r="I10" s="32" t="str">
        <f ca="1">VLOOKUP(I$9,'Risk Tables'!$G$17:$H$19,2,1)</f>
        <v>WEAK</v>
      </c>
      <c r="J10" s="32" t="str">
        <f ca="1">VLOOKUP(J$9,'Risk Tables'!$G$17:$H$19,2,1)</f>
        <v>WEAK</v>
      </c>
      <c r="K10" s="32" t="str">
        <f ca="1">VLOOKUP(K$9,'Risk Tables'!$G$17:$H$19,2,1)</f>
        <v>WEAK</v>
      </c>
      <c r="L10" s="32" t="str">
        <f ca="1">VLOOKUP(L$9,'Risk Tables'!$G$17:$H$19,2,1)</f>
        <v>WEAK</v>
      </c>
      <c r="M10" s="33" t="str">
        <f ca="1">VLOOKUP(M$9,'Risk Tables'!$G$17:$H$19,2,1)</f>
        <v>WEAK</v>
      </c>
    </row>
    <row r="11" spans="1:13">
      <c r="A11" s="29" t="s">
        <v>275</v>
      </c>
      <c r="B11" s="30">
        <f ca="1">AVERAGE(B9,B10)</f>
        <v>2.6475579484428571</v>
      </c>
      <c r="C11" s="30">
        <f t="shared" ref="C11:F11" ca="1" si="1">AVERAGE(C9,C10)</f>
        <v>2.4548623342641207</v>
      </c>
      <c r="D11" s="30">
        <f t="shared" ca="1" si="1"/>
        <v>2.9210013566365012</v>
      </c>
      <c r="E11" s="30">
        <f t="shared" ca="1" si="1"/>
        <v>2.8963888718739685</v>
      </c>
      <c r="F11" s="31">
        <f t="shared" ca="1" si="1"/>
        <v>3.3163081792053126</v>
      </c>
      <c r="G11" s="4"/>
      <c r="H11" s="26"/>
      <c r="I11" s="34"/>
      <c r="J11" s="34"/>
      <c r="K11" s="34"/>
      <c r="L11" s="34"/>
      <c r="M11" s="35"/>
    </row>
    <row r="12" spans="1:13">
      <c r="A12" s="26" t="s">
        <v>276</v>
      </c>
      <c r="B12" s="32" t="str">
        <f ca="1">VLOOKUP(B$11,'Risk Tables'!$G$9:$H$11,2,1)</f>
        <v>LOW</v>
      </c>
      <c r="C12" s="32" t="str">
        <f ca="1">VLOOKUP(C$11,'Risk Tables'!$G$9:$H$11,2,1)</f>
        <v>MEDIUM</v>
      </c>
      <c r="D12" s="32" t="str">
        <f ca="1">VLOOKUP(D$11,'Risk Tables'!$G$9:$H$11,2,1)</f>
        <v>LOW</v>
      </c>
      <c r="E12" s="32" t="str">
        <f ca="1">VLOOKUP(E$11,'Risk Tables'!$G$9:$H$11,2,1)</f>
        <v>LOW</v>
      </c>
      <c r="F12" s="33" t="str">
        <f ca="1">VLOOKUP(F$11,'Risk Tables'!$G$9:$H$11,2,1)</f>
        <v>LOW</v>
      </c>
      <c r="G12" s="4"/>
      <c r="H12" s="24"/>
      <c r="I12" s="34"/>
      <c r="J12" s="34"/>
      <c r="K12" s="34"/>
      <c r="L12" s="34"/>
      <c r="M12" s="35"/>
    </row>
    <row r="13" spans="1:13">
      <c r="A13" s="26"/>
      <c r="B13" s="4"/>
      <c r="C13" s="4"/>
      <c r="D13" s="4"/>
      <c r="E13" s="4"/>
      <c r="F13" s="25"/>
      <c r="G13" s="4"/>
      <c r="H13" s="24"/>
      <c r="I13" s="34"/>
      <c r="J13" s="34"/>
      <c r="K13" s="34"/>
      <c r="L13" s="34"/>
      <c r="M13" s="35"/>
    </row>
    <row r="14" spans="1:13">
      <c r="A14" s="24"/>
      <c r="B14" s="4"/>
      <c r="C14" s="4"/>
      <c r="D14" s="4"/>
      <c r="E14" s="4"/>
      <c r="F14" s="25"/>
      <c r="G14" s="4"/>
      <c r="H14" s="24"/>
      <c r="I14" s="34"/>
      <c r="J14" s="34"/>
      <c r="K14" s="34"/>
      <c r="L14" s="34"/>
      <c r="M14" s="35"/>
    </row>
    <row r="15" spans="1:13">
      <c r="A15" s="26" t="s">
        <v>234</v>
      </c>
      <c r="B15" s="34"/>
      <c r="C15" s="34"/>
      <c r="D15" s="34"/>
      <c r="E15" s="34"/>
      <c r="F15" s="35"/>
      <c r="G15" s="4"/>
      <c r="H15" s="26" t="s">
        <v>277</v>
      </c>
      <c r="I15" s="34"/>
      <c r="J15" s="34"/>
      <c r="K15" s="34"/>
      <c r="L15" s="34"/>
      <c r="M15" s="35"/>
    </row>
    <row r="16" spans="1:13">
      <c r="A16" s="29" t="s">
        <v>278</v>
      </c>
      <c r="B16" s="36">
        <f ca="1">'Balance Sheet'!E39/('Balance Sheet'!E27+'Balance Sheet'!E31+'Balance Sheet'!E32+'Balance Sheet'!E39)</f>
        <v>0.76153868608768349</v>
      </c>
      <c r="C16" s="36">
        <f ca="1">'Balance Sheet'!F39/('Balance Sheet'!F27+'Balance Sheet'!F31+'Balance Sheet'!F32+'Balance Sheet'!F39)</f>
        <v>0.76936296024725792</v>
      </c>
      <c r="D16" s="36">
        <f ca="1">'Balance Sheet'!G39/('Balance Sheet'!G27+'Balance Sheet'!G31+'Balance Sheet'!G32+'Balance Sheet'!G39)</f>
        <v>0.80627424569661588</v>
      </c>
      <c r="E16" s="36">
        <f ca="1">'Balance Sheet'!H39/('Balance Sheet'!H27+'Balance Sheet'!H31+'Balance Sheet'!H32+'Balance Sheet'!H39)</f>
        <v>0.81198482882955925</v>
      </c>
      <c r="F16" s="37">
        <f ca="1">'Balance Sheet'!I39/('Balance Sheet'!I27+'Balance Sheet'!I31+'Balance Sheet'!I32+'Balance Sheet'!I39)</f>
        <v>0.8395543648081768</v>
      </c>
      <c r="G16" s="4"/>
      <c r="H16" s="29" t="s">
        <v>257</v>
      </c>
      <c r="I16" s="70">
        <f>Assumptions!E68</f>
        <v>-0.01</v>
      </c>
      <c r="J16" s="70">
        <f>Assumptions!F68</f>
        <v>0</v>
      </c>
      <c r="K16" s="70">
        <f>Assumptions!G68</f>
        <v>5.0000000000000001E-3</v>
      </c>
      <c r="L16" s="70">
        <f>Assumptions!H68</f>
        <v>0.01</v>
      </c>
      <c r="M16" s="71">
        <f>Assumptions!I68</f>
        <v>1.4999999999999999E-2</v>
      </c>
    </row>
    <row r="17" spans="1:13">
      <c r="A17" s="26" t="s">
        <v>279</v>
      </c>
      <c r="B17" s="32" t="str">
        <f ca="1">VLOOKUP(B$16,'Risk Tables'!$J$9:$K$11,2,1)</f>
        <v>LOW</v>
      </c>
      <c r="C17" s="32" t="str">
        <f ca="1">VLOOKUP(C$16,'Risk Tables'!$J$9:$K$11,2,1)</f>
        <v>LOW</v>
      </c>
      <c r="D17" s="32" t="str">
        <f ca="1">VLOOKUP(D$16,'Risk Tables'!$J$9:$K$11,2,1)</f>
        <v>LOW</v>
      </c>
      <c r="E17" s="32" t="str">
        <f ca="1">VLOOKUP(E$16,'Risk Tables'!$J$9:$K$11,2,1)</f>
        <v>LOW</v>
      </c>
      <c r="F17" s="33" t="str">
        <f ca="1">VLOOKUP(F$16,'Risk Tables'!$J$9:$K$11,2,1)</f>
        <v>LOW</v>
      </c>
      <c r="G17" s="4"/>
      <c r="H17" s="26" t="s">
        <v>280</v>
      </c>
      <c r="I17" s="32" t="str">
        <f>VLOOKUP(I$16,'Risk Tables'!$J$17:$K$19,2,1)</f>
        <v>WEAK</v>
      </c>
      <c r="J17" s="32" t="str">
        <f>VLOOKUP(J$16,'Risk Tables'!$J$17:$K$19,2,1)</f>
        <v>WEAK</v>
      </c>
      <c r="K17" s="32" t="str">
        <f>VLOOKUP(K$16,'Risk Tables'!$J$17:$K$19,2,1)</f>
        <v>WEAK</v>
      </c>
      <c r="L17" s="32" t="str">
        <f>VLOOKUP(L$16,'Risk Tables'!$J$17:$K$19,2,1)</f>
        <v>WEAK</v>
      </c>
      <c r="M17" s="33" t="str">
        <f>VLOOKUP(M$16,'Risk Tables'!$J$17:$K$19,2,1)</f>
        <v>WEAK</v>
      </c>
    </row>
    <row r="18" spans="1:13">
      <c r="A18" s="26"/>
      <c r="B18" s="4"/>
      <c r="C18" s="4"/>
      <c r="D18" s="4"/>
      <c r="E18" s="4"/>
      <c r="F18" s="25"/>
      <c r="G18" s="4"/>
      <c r="H18" s="26"/>
      <c r="I18" s="34"/>
      <c r="J18" s="34"/>
      <c r="K18" s="34"/>
      <c r="L18" s="34"/>
      <c r="M18" s="35"/>
    </row>
    <row r="19" spans="1:13">
      <c r="A19" s="24"/>
      <c r="B19" s="4"/>
      <c r="C19" s="4"/>
      <c r="D19" s="4"/>
      <c r="E19" s="4"/>
      <c r="F19" s="25"/>
      <c r="G19" s="4"/>
      <c r="H19" s="24"/>
      <c r="I19" s="34"/>
      <c r="J19" s="34"/>
      <c r="K19" s="34"/>
      <c r="L19" s="34"/>
      <c r="M19" s="35"/>
    </row>
    <row r="20" spans="1:13">
      <c r="A20" s="26" t="s">
        <v>281</v>
      </c>
      <c r="B20" s="34"/>
      <c r="C20" s="34"/>
      <c r="D20" s="34"/>
      <c r="E20" s="34"/>
      <c r="F20" s="35"/>
      <c r="G20" s="4"/>
      <c r="H20" s="26" t="s">
        <v>261</v>
      </c>
      <c r="I20" s="34"/>
      <c r="J20" s="34"/>
      <c r="K20" s="34"/>
      <c r="L20" s="34"/>
      <c r="M20" s="35"/>
    </row>
    <row r="21" spans="1:13">
      <c r="A21" s="29" t="s">
        <v>282</v>
      </c>
      <c r="B21" s="36">
        <f ca="1">('Income Statement'!E14-'Income Statement'!E12)/('Balance Sheet'!E27+'Balance Sheet'!E31+'Balance Sheet'!E32)</f>
        <v>0.67784647402370979</v>
      </c>
      <c r="C21" s="36">
        <f ca="1">('Income Statement'!F14-'Income Statement'!F12)/('Balance Sheet'!F27+'Balance Sheet'!F31+'Balance Sheet'!F32)</f>
        <v>0.67784647402371012</v>
      </c>
      <c r="D21" s="36">
        <f ca="1">('Income Statement'!G14-'Income Statement'!G12)/('Balance Sheet'!G27+'Balance Sheet'!G31+'Balance Sheet'!G32)</f>
        <v>0.81685150614355395</v>
      </c>
      <c r="E21" s="36">
        <f ca="1">('Income Statement'!H14-'Income Statement'!H12)/('Balance Sheet'!H27+'Balance Sheet'!H31+'Balance Sheet'!H32)</f>
        <v>0.82502002120499152</v>
      </c>
      <c r="F21" s="38">
        <f ca="1">('Income Statement'!I14-'Income Statement'!I12)/('Balance Sheet'!I27+'Balance Sheet'!I31+'Balance Sheet'!I32)</f>
        <v>0.97960343519561177</v>
      </c>
      <c r="G21" s="4"/>
      <c r="H21" s="29" t="s">
        <v>283</v>
      </c>
      <c r="I21" s="70">
        <f>'Income Statement'!E14/'Income Statement'!E7</f>
        <v>3.0878523477013298E-2</v>
      </c>
      <c r="J21" s="70">
        <f>'Income Statement'!F14/'Income Statement'!F7</f>
        <v>2.6984457377905599E-2</v>
      </c>
      <c r="K21" s="70">
        <f>'Income Statement'!G14/'Income Statement'!G7</f>
        <v>2.4785634917471398E-2</v>
      </c>
      <c r="L21" s="70">
        <f>'Income Statement'!H14/'Income Statement'!H7</f>
        <v>2.2918988036265998E-2</v>
      </c>
      <c r="M21" s="71">
        <f>'Income Statement'!I14/'Income Statement'!I7</f>
        <v>2.1410009184788501E-2</v>
      </c>
    </row>
    <row r="22" spans="1:13">
      <c r="A22" s="26" t="s">
        <v>284</v>
      </c>
      <c r="B22" s="32" t="str">
        <f ca="1">VLOOKUP(B$21,'Risk Tables'!$M$9:$N$11,2,1)</f>
        <v>LOW</v>
      </c>
      <c r="C22" s="32" t="str">
        <f ca="1">VLOOKUP(C$21,'Risk Tables'!$M$9:$N$11,2,1)</f>
        <v>LOW</v>
      </c>
      <c r="D22" s="32" t="str">
        <f ca="1">VLOOKUP(D$21,'Risk Tables'!$M$9:$N$11,2,1)</f>
        <v>LOW</v>
      </c>
      <c r="E22" s="32" t="str">
        <f ca="1">VLOOKUP(E$21,'Risk Tables'!$M$9:$N$11,2,1)</f>
        <v>LOW</v>
      </c>
      <c r="F22" s="33" t="str">
        <f ca="1">VLOOKUP(F$21,'Risk Tables'!$M$9:$N$11,2,1)</f>
        <v>LOW</v>
      </c>
      <c r="G22" s="4"/>
      <c r="H22" s="26" t="s">
        <v>285</v>
      </c>
      <c r="I22" s="32" t="str">
        <f>VLOOKUP(I$21,'Risk Tables'!$M$17:$N$19,2,1)</f>
        <v>WEAK</v>
      </c>
      <c r="J22" s="32" t="str">
        <f>VLOOKUP(J$21,'Risk Tables'!$M$17:$N$19,2,1)</f>
        <v>WEAK</v>
      </c>
      <c r="K22" s="32" t="str">
        <f>VLOOKUP(K$21,'Risk Tables'!$M$17:$N$19,2,1)</f>
        <v>WEAK</v>
      </c>
      <c r="L22" s="32" t="str">
        <f>VLOOKUP(L$21,'Risk Tables'!$M$17:$N$19,2,1)</f>
        <v>WEAK</v>
      </c>
      <c r="M22" s="33" t="str">
        <f>VLOOKUP(M$21,'Risk Tables'!$M$17:$N$19,2,1)</f>
        <v>WEAK</v>
      </c>
    </row>
    <row r="23" spans="1:13">
      <c r="A23" s="26"/>
      <c r="B23" s="4"/>
      <c r="C23" s="4"/>
      <c r="D23" s="4"/>
      <c r="E23" s="4"/>
      <c r="F23" s="25"/>
      <c r="G23" s="4"/>
      <c r="H23" s="26"/>
      <c r="I23" s="34"/>
      <c r="J23" s="34"/>
      <c r="K23" s="34"/>
      <c r="L23" s="34"/>
      <c r="M23" s="35"/>
    </row>
    <row r="24" spans="1:13">
      <c r="A24" s="24"/>
      <c r="B24" s="4"/>
      <c r="C24" s="4"/>
      <c r="D24" s="4"/>
      <c r="E24" s="4"/>
      <c r="F24" s="25"/>
      <c r="G24" s="4"/>
      <c r="H24" s="24"/>
      <c r="I24" s="34"/>
      <c r="J24" s="34"/>
      <c r="K24" s="34"/>
      <c r="L24" s="34"/>
      <c r="M24" s="35"/>
    </row>
    <row r="25" spans="1:13">
      <c r="A25" s="26" t="s">
        <v>286</v>
      </c>
      <c r="B25" s="34"/>
      <c r="C25" s="34"/>
      <c r="D25" s="34"/>
      <c r="E25" s="34"/>
      <c r="F25" s="35"/>
      <c r="G25" s="4"/>
      <c r="H25" s="26" t="s">
        <v>264</v>
      </c>
      <c r="I25" s="34"/>
      <c r="J25" s="34"/>
      <c r="K25" s="34"/>
      <c r="L25" s="34"/>
      <c r="M25" s="35"/>
    </row>
    <row r="26" spans="1:13">
      <c r="A26" s="29" t="s">
        <v>287</v>
      </c>
      <c r="B26" s="30">
        <f ca="1">('Income Statement'!E14-'Income Statement'!E12)/(-'Income Statement'!E16)</f>
        <v>21.292024541613095</v>
      </c>
      <c r="C26" s="30">
        <f ca="1">('Income Statement'!F14-'Income Statement'!F12)/(-'Income Statement'!F16)</f>
        <v>17.425359229401288</v>
      </c>
      <c r="D26" s="30">
        <f ca="1">('Income Statement'!G14-'Income Statement'!G12)/(-'Income Statement'!G16)</f>
        <v>19.097820829880547</v>
      </c>
      <c r="E26" s="30">
        <f ca="1">('Income Statement'!H14-'Income Statement'!H12)/(-'Income Statement'!H16)</f>
        <v>21.208740905012636</v>
      </c>
      <c r="F26" s="39">
        <f ca="1">('Income Statement'!I14-'Income Statement'!I12)/(-'Income Statement'!I16)</f>
        <v>23.211681021188376</v>
      </c>
      <c r="G26" s="4"/>
      <c r="H26" s="29" t="s">
        <v>288</v>
      </c>
      <c r="I26" s="70">
        <f ca="1">'Income Statement'!E19/'Income Statement'!E7</f>
        <v>2.3887737054327306E-2</v>
      </c>
      <c r="J26" s="70">
        <f ca="1">'Income Statement'!F19/'Income Statement'!F7</f>
        <v>2.0987742659535267E-2</v>
      </c>
      <c r="K26" s="70">
        <f ca="1">'Income Statement'!G19/'Income Statement'!G7</f>
        <v>1.9838045136089829E-2</v>
      </c>
      <c r="L26" s="70">
        <f ca="1">'Income Statement'!H19/'Income Statement'!H7</f>
        <v>1.9003592770682216E-2</v>
      </c>
      <c r="M26" s="71">
        <f ca="1">'Income Statement'!I19/'Income Statement'!I7</f>
        <v>1.842659463490276E-2</v>
      </c>
    </row>
    <row r="27" spans="1:13">
      <c r="A27" s="26" t="s">
        <v>289</v>
      </c>
      <c r="B27" s="32" t="str">
        <f ca="1">VLOOKUP(B$26,'Risk Tables'!$P$9:$Q$11,2,1)</f>
        <v>LOW</v>
      </c>
      <c r="C27" s="32" t="str">
        <f ca="1">VLOOKUP(C$26,'Risk Tables'!$P$9:$Q$11,2,1)</f>
        <v>LOW</v>
      </c>
      <c r="D27" s="32" t="str">
        <f ca="1">VLOOKUP(D$26,'Risk Tables'!$P$9:$Q$11,2,1)</f>
        <v>LOW</v>
      </c>
      <c r="E27" s="32" t="str">
        <f ca="1">VLOOKUP(E$26,'Risk Tables'!$P$9:$Q$11,2,1)</f>
        <v>LOW</v>
      </c>
      <c r="F27" s="33" t="str">
        <f ca="1">VLOOKUP(F$26,'Risk Tables'!$P$9:$Q$11,2,1)</f>
        <v>LOW</v>
      </c>
      <c r="G27" s="4"/>
      <c r="H27" s="26" t="s">
        <v>290</v>
      </c>
      <c r="I27" s="32" t="str">
        <f ca="1">VLOOKUP(I$26,'Risk Tables'!$P$17:$Q$19,2,1)</f>
        <v>WEAK</v>
      </c>
      <c r="J27" s="32" t="str">
        <f ca="1">VLOOKUP(J$26,'Risk Tables'!$P$17:$Q$19,2,1)</f>
        <v>WEAK</v>
      </c>
      <c r="K27" s="32" t="str">
        <f ca="1">VLOOKUP(K$26,'Risk Tables'!$P$17:$Q$19,2,1)</f>
        <v>WEAK</v>
      </c>
      <c r="L27" s="32" t="str">
        <f ca="1">VLOOKUP(L$26,'Risk Tables'!$P$17:$Q$19,2,1)</f>
        <v>WEAK</v>
      </c>
      <c r="M27" s="33" t="str">
        <f ca="1">VLOOKUP(M$26,'Risk Tables'!$P$17:$Q$19,2,1)</f>
        <v>WEAK</v>
      </c>
    </row>
    <row r="28" spans="1:13">
      <c r="A28" s="26"/>
      <c r="B28" s="4"/>
      <c r="C28" s="4"/>
      <c r="D28" s="4"/>
      <c r="E28" s="4"/>
      <c r="F28" s="40"/>
      <c r="G28" s="4"/>
      <c r="H28" s="26"/>
      <c r="I28" s="34"/>
      <c r="J28" s="34"/>
      <c r="K28" s="34"/>
      <c r="L28" s="34"/>
      <c r="M28" s="72"/>
    </row>
    <row r="29" spans="1:13">
      <c r="A29" s="26" t="s">
        <v>291</v>
      </c>
      <c r="B29" s="34">
        <f ca="1">COUNTIF(B$12,"LOW")+COUNTIF(B$17,"LOW")+COUNTIF(B$22,"LOW")+COUNTIF(B$27,"LOW")</f>
        <v>4</v>
      </c>
      <c r="C29" s="34">
        <f t="shared" ref="C29:F29" ca="1" si="2">COUNTIF(C$12,"LOW")+COUNTIF(C$17,"LOW")+COUNTIF(C$22,"LOW")+COUNTIF(C$27,"LOW")</f>
        <v>3</v>
      </c>
      <c r="D29" s="34">
        <f t="shared" ca="1" si="2"/>
        <v>4</v>
      </c>
      <c r="E29" s="34">
        <f t="shared" ca="1" si="2"/>
        <v>4</v>
      </c>
      <c r="F29" s="35">
        <f t="shared" ca="1" si="2"/>
        <v>4</v>
      </c>
      <c r="G29" s="4"/>
      <c r="H29" s="26" t="s">
        <v>292</v>
      </c>
      <c r="I29" s="34">
        <f ca="1">COUNTIF(I$10,"STRONG")+COUNTIF(I$17,"STRONG")+COUNTIF(I$22,"STRONG")+COUNTIF(I$27,"STRONG")</f>
        <v>0</v>
      </c>
      <c r="J29" s="34">
        <f t="shared" ref="J29:M29" ca="1" si="3">COUNTIF(J$10,"STRONG")+COUNTIF(J$17,"STRONG")+COUNTIF(J$22,"STRONG")+COUNTIF(J$27,"STRONG")</f>
        <v>0</v>
      </c>
      <c r="K29" s="34">
        <f t="shared" ca="1" si="3"/>
        <v>0</v>
      </c>
      <c r="L29" s="34">
        <f t="shared" ca="1" si="3"/>
        <v>0</v>
      </c>
      <c r="M29" s="34">
        <f t="shared" ca="1" si="3"/>
        <v>0</v>
      </c>
    </row>
    <row r="30" spans="1:13">
      <c r="A30" s="26" t="s">
        <v>293</v>
      </c>
      <c r="B30" s="34">
        <f ca="1">COUNTIF(B$12,"MEDIUM")+COUNTIF(B$17,"MEDIUM")+COUNTIF(B$22,"MEDIUM")+COUNTIF(B$27,"MEDIUM")</f>
        <v>0</v>
      </c>
      <c r="C30" s="34">
        <f t="shared" ref="C30:F30" ca="1" si="4">COUNTIF(C$12,"MEDIUM")+COUNTIF(C$17,"MEDIUM")+COUNTIF(C$22,"MEDIUM")+COUNTIF(C$27,"MEDIUM")</f>
        <v>1</v>
      </c>
      <c r="D30" s="34">
        <f t="shared" ca="1" si="4"/>
        <v>0</v>
      </c>
      <c r="E30" s="34">
        <f t="shared" ca="1" si="4"/>
        <v>0</v>
      </c>
      <c r="F30" s="35">
        <f t="shared" ca="1" si="4"/>
        <v>0</v>
      </c>
      <c r="G30" s="4"/>
      <c r="H30" s="26" t="s">
        <v>294</v>
      </c>
      <c r="I30" s="34">
        <f ca="1">COUNTIF(I$10,"AVERAGE")+COUNTIF(I$17,"AVERAGE")+COUNTIF(I$22,"AVERAGE")+COUNTIF(I$27,"AVERAGE")</f>
        <v>0</v>
      </c>
      <c r="J30" s="34">
        <f t="shared" ref="J30:M30" ca="1" si="5">COUNTIF(J$10,"AVERAGE")+COUNTIF(J$17,"AVERAGE")+COUNTIF(J$22,"AVERAGE")+COUNTIF(J$27,"AVERAGE")</f>
        <v>0</v>
      </c>
      <c r="K30" s="34">
        <f t="shared" ca="1" si="5"/>
        <v>0</v>
      </c>
      <c r="L30" s="34">
        <f t="shared" ca="1" si="5"/>
        <v>0</v>
      </c>
      <c r="M30" s="35">
        <f t="shared" ca="1" si="5"/>
        <v>0</v>
      </c>
    </row>
    <row r="31" spans="1:13">
      <c r="A31" s="26" t="s">
        <v>295</v>
      </c>
      <c r="B31" s="34">
        <f ca="1">COUNTIF(B$12,"HIGH")+COUNTIF(B$17,"HIGH")+COUNTIF(B$22,"HIGH")+COUNTIF(B$27,"HIGH")</f>
        <v>0</v>
      </c>
      <c r="C31" s="34">
        <f t="shared" ref="C31:F31" ca="1" si="6">COUNTIF(C$12,"HIGH")+COUNTIF(C$17,"HIGH")+COUNTIF(C$22,"HIGH")+COUNTIF(C$27,"HIGH")</f>
        <v>0</v>
      </c>
      <c r="D31" s="34">
        <f t="shared" ca="1" si="6"/>
        <v>0</v>
      </c>
      <c r="E31" s="34">
        <f t="shared" ca="1" si="6"/>
        <v>0</v>
      </c>
      <c r="F31" s="35">
        <f t="shared" ca="1" si="6"/>
        <v>0</v>
      </c>
      <c r="G31" s="4"/>
      <c r="H31" s="26" t="s">
        <v>296</v>
      </c>
      <c r="I31" s="34">
        <f ca="1">COUNTIF(I$10,"WEAK")+COUNTIF(I$17,"WEAK")+COUNTIF(I$22,"WEAK")+COUNTIF(I$27,"WEAK")</f>
        <v>4</v>
      </c>
      <c r="J31" s="34">
        <f t="shared" ref="J31:M31" ca="1" si="7">COUNTIF(J$10,"WEAK")+COUNTIF(J$17,"WEAK")+COUNTIF(J$22,"WEAK")+COUNTIF(J$27,"WEAK")</f>
        <v>4</v>
      </c>
      <c r="K31" s="34">
        <f t="shared" ca="1" si="7"/>
        <v>4</v>
      </c>
      <c r="L31" s="34">
        <f t="shared" ca="1" si="7"/>
        <v>4</v>
      </c>
      <c r="M31" s="34">
        <f t="shared" ca="1" si="7"/>
        <v>4</v>
      </c>
    </row>
    <row r="32" spans="1:13">
      <c r="A32" s="26"/>
      <c r="B32" s="41"/>
      <c r="C32" s="41"/>
      <c r="D32" s="41"/>
      <c r="E32" s="41"/>
      <c r="F32" s="42"/>
      <c r="G32" s="4"/>
      <c r="H32" s="26"/>
      <c r="I32" s="34"/>
      <c r="J32" s="34"/>
      <c r="K32" s="34"/>
      <c r="L32" s="34"/>
      <c r="M32" s="35"/>
    </row>
    <row r="33" spans="1:13">
      <c r="A33" s="26" t="s">
        <v>297</v>
      </c>
      <c r="B33" s="43">
        <v>1</v>
      </c>
      <c r="C33" s="43">
        <v>1</v>
      </c>
      <c r="D33" s="43">
        <v>1</v>
      </c>
      <c r="E33" s="43">
        <v>1</v>
      </c>
      <c r="F33" s="44">
        <v>1</v>
      </c>
      <c r="G33" s="4"/>
      <c r="H33" s="26" t="s">
        <v>298</v>
      </c>
      <c r="I33" s="43">
        <v>1</v>
      </c>
      <c r="J33" s="43">
        <v>1</v>
      </c>
      <c r="K33" s="73">
        <v>1</v>
      </c>
      <c r="L33" s="73">
        <v>1</v>
      </c>
      <c r="M33" s="74">
        <v>1</v>
      </c>
    </row>
    <row r="34" spans="1:13">
      <c r="A34" s="26" t="s">
        <v>299</v>
      </c>
      <c r="B34" s="43">
        <v>2</v>
      </c>
      <c r="C34" s="43">
        <v>2</v>
      </c>
      <c r="D34" s="43">
        <v>2</v>
      </c>
      <c r="E34" s="43">
        <v>2</v>
      </c>
      <c r="F34" s="44">
        <v>2</v>
      </c>
      <c r="G34" s="4"/>
      <c r="H34" s="26" t="s">
        <v>300</v>
      </c>
      <c r="I34" s="43">
        <v>2</v>
      </c>
      <c r="J34" s="43">
        <v>2</v>
      </c>
      <c r="K34" s="73">
        <v>2</v>
      </c>
      <c r="L34" s="73">
        <v>2</v>
      </c>
      <c r="M34" s="74">
        <v>2</v>
      </c>
    </row>
    <row r="35" spans="1:13">
      <c r="A35" s="26" t="s">
        <v>301</v>
      </c>
      <c r="B35" s="43">
        <v>5</v>
      </c>
      <c r="C35" s="43">
        <v>5</v>
      </c>
      <c r="D35" s="43">
        <v>5</v>
      </c>
      <c r="E35" s="43">
        <v>5</v>
      </c>
      <c r="F35" s="44">
        <v>5</v>
      </c>
      <c r="G35" s="4"/>
      <c r="H35" s="26" t="s">
        <v>302</v>
      </c>
      <c r="I35" s="43">
        <v>5</v>
      </c>
      <c r="J35" s="43">
        <v>5</v>
      </c>
      <c r="K35" s="73">
        <v>5</v>
      </c>
      <c r="L35" s="73">
        <v>5</v>
      </c>
      <c r="M35" s="74">
        <v>5</v>
      </c>
    </row>
    <row r="36" spans="1:13">
      <c r="A36" s="24"/>
      <c r="B36" s="4"/>
      <c r="C36" s="4"/>
      <c r="D36" s="4"/>
      <c r="E36" s="4"/>
      <c r="F36" s="25"/>
      <c r="G36" s="4"/>
      <c r="H36" s="24"/>
      <c r="I36" s="34"/>
      <c r="J36" s="34"/>
      <c r="K36" s="34"/>
      <c r="L36" s="34"/>
      <c r="M36" s="35"/>
    </row>
    <row r="37" spans="1:13">
      <c r="A37" s="45" t="s">
        <v>303</v>
      </c>
      <c r="B37" s="46">
        <f ca="1">SUMPRODUCT(B$29:B$31,B$33:B$35)</f>
        <v>4</v>
      </c>
      <c r="C37" s="46">
        <f t="shared" ref="C37:F37" ca="1" si="8">SUMPRODUCT(C$29:C$31,C$33:C$35)</f>
        <v>5</v>
      </c>
      <c r="D37" s="46">
        <f t="shared" ca="1" si="8"/>
        <v>4</v>
      </c>
      <c r="E37" s="46">
        <f t="shared" ca="1" si="8"/>
        <v>4</v>
      </c>
      <c r="F37" s="47">
        <f t="shared" ca="1" si="8"/>
        <v>4</v>
      </c>
      <c r="G37" s="4"/>
      <c r="H37" s="48" t="s">
        <v>304</v>
      </c>
      <c r="I37" s="75">
        <f ca="1">SUMPRODUCT(I$29:I$31,I$33:I$35)</f>
        <v>20</v>
      </c>
      <c r="J37" s="75">
        <f t="shared" ref="J37:M37" ca="1" si="9">SUMPRODUCT(J$29:J$31,J$33:J$35)</f>
        <v>20</v>
      </c>
      <c r="K37" s="75">
        <f t="shared" ca="1" si="9"/>
        <v>20</v>
      </c>
      <c r="L37" s="75">
        <f t="shared" ca="1" si="9"/>
        <v>20</v>
      </c>
      <c r="M37" s="76">
        <f t="shared" ca="1" si="9"/>
        <v>20</v>
      </c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3">
      <c r="A39" s="49"/>
      <c r="B39" s="49"/>
      <c r="C39" s="49"/>
      <c r="D39" s="49"/>
      <c r="E39" s="49"/>
      <c r="F39" s="49"/>
      <c r="G39" s="4"/>
      <c r="H39" s="4"/>
      <c r="I39" s="4"/>
      <c r="J39" s="4"/>
      <c r="K39" s="4"/>
    </row>
    <row r="40" spans="1:13">
      <c r="A40" s="50" t="s">
        <v>305</v>
      </c>
      <c r="B40" s="51">
        <v>80</v>
      </c>
      <c r="C40" s="52"/>
      <c r="D40" s="52"/>
      <c r="E40" s="52"/>
      <c r="F40" s="52"/>
      <c r="G40" s="4"/>
      <c r="H40" s="4"/>
      <c r="I40" s="4"/>
      <c r="J40" s="4"/>
      <c r="K40" s="4"/>
    </row>
    <row r="41" spans="1:13">
      <c r="A41" s="49"/>
      <c r="B41" s="53"/>
      <c r="C41" s="49"/>
      <c r="D41" s="49"/>
      <c r="E41" s="49"/>
      <c r="F41" s="49"/>
      <c r="G41" s="54"/>
      <c r="H41" s="4"/>
      <c r="I41" s="4"/>
      <c r="J41" s="4"/>
      <c r="K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3">
      <c r="A43" s="55" t="s">
        <v>306</v>
      </c>
      <c r="B43" s="56"/>
      <c r="C43" s="57"/>
      <c r="D43" s="57"/>
      <c r="E43" s="57"/>
      <c r="F43" s="7"/>
      <c r="G43" s="4"/>
      <c r="H43" s="4"/>
      <c r="I43" s="4"/>
      <c r="J43" s="4"/>
      <c r="K43" s="4"/>
    </row>
    <row r="44" spans="1:13">
      <c r="A44" s="24" t="s">
        <v>307</v>
      </c>
      <c r="B44" s="58">
        <f>$B$40/100</f>
        <v>0.8</v>
      </c>
      <c r="C44" s="59">
        <f t="shared" ref="C44:F44" si="10">$B$40/100</f>
        <v>0.8</v>
      </c>
      <c r="D44" s="59">
        <f t="shared" si="10"/>
        <v>0.8</v>
      </c>
      <c r="E44" s="59">
        <f t="shared" si="10"/>
        <v>0.8</v>
      </c>
      <c r="F44" s="60">
        <f t="shared" si="10"/>
        <v>0.8</v>
      </c>
      <c r="G44" s="4"/>
      <c r="I44" s="4"/>
      <c r="J44" s="4"/>
      <c r="K44" s="4"/>
    </row>
    <row r="45" spans="1:13">
      <c r="A45" s="24" t="s">
        <v>308</v>
      </c>
      <c r="B45" s="61">
        <f t="shared" ref="B45:F45" si="11">1-B44</f>
        <v>0.19999999999999996</v>
      </c>
      <c r="C45" s="62">
        <f t="shared" si="11"/>
        <v>0.19999999999999996</v>
      </c>
      <c r="D45" s="62">
        <f t="shared" si="11"/>
        <v>0.19999999999999996</v>
      </c>
      <c r="E45" s="62">
        <f t="shared" si="11"/>
        <v>0.19999999999999996</v>
      </c>
      <c r="F45" s="63">
        <f t="shared" si="11"/>
        <v>0.19999999999999996</v>
      </c>
      <c r="G45" s="4"/>
      <c r="H45" s="4"/>
      <c r="I45" s="4"/>
      <c r="J45" s="4"/>
      <c r="K45" s="4"/>
    </row>
    <row r="46" spans="1:13">
      <c r="A46" s="24" t="s">
        <v>309</v>
      </c>
      <c r="B46" s="4">
        <f ca="1">ROUNDUP(B$37*B$44+I$37*B$45,0)</f>
        <v>8</v>
      </c>
      <c r="C46" s="4">
        <f t="shared" ref="C46:F46" ca="1" si="12">ROUNDUP(C$37*C$44+J$37*C$45,0)</f>
        <v>8</v>
      </c>
      <c r="D46" s="4">
        <f t="shared" ca="1" si="12"/>
        <v>8</v>
      </c>
      <c r="E46" s="4">
        <f t="shared" ca="1" si="12"/>
        <v>8</v>
      </c>
      <c r="F46" s="40">
        <f t="shared" ca="1" si="12"/>
        <v>8</v>
      </c>
      <c r="G46" s="4"/>
      <c r="H46" s="4"/>
      <c r="I46" s="4"/>
      <c r="J46" s="4"/>
      <c r="K46" s="4"/>
    </row>
    <row r="47" spans="1:13">
      <c r="A47" s="24"/>
      <c r="B47" s="4"/>
      <c r="C47" s="4"/>
      <c r="D47" s="4"/>
      <c r="E47" s="4"/>
      <c r="F47" s="25"/>
      <c r="G47" s="4"/>
      <c r="H47" s="4"/>
      <c r="I47" s="4"/>
      <c r="J47" s="4"/>
      <c r="K47" s="4"/>
    </row>
    <row r="48" spans="1:13">
      <c r="A48" s="64" t="s">
        <v>310</v>
      </c>
      <c r="B48" s="65" t="str">
        <f ca="1">IF(B$46&lt;17,VLOOKUP(B$46,'Ratings and Rates'!$A$6:$D$20,3,0),'Ratings and Rates'!$C$7)</f>
        <v>A-</v>
      </c>
      <c r="C48" s="65" t="str">
        <f ca="1">IF(C$46&lt;17,VLOOKUP(C$46,'Ratings and Rates'!$A$6:$D$20,3,0),'Ratings and Rates'!$C$7)</f>
        <v>A-</v>
      </c>
      <c r="D48" s="65" t="str">
        <f ca="1">IF(D$46&lt;17,VLOOKUP(D$46,'Ratings and Rates'!$A$6:$D$20,3,0),'Ratings and Rates'!$C$7)</f>
        <v>A-</v>
      </c>
      <c r="E48" s="65" t="str">
        <f ca="1">IF(E$46&lt;17,VLOOKUP(E$46,'Ratings and Rates'!$A$6:$D$20,3,0),'Ratings and Rates'!$C$7)</f>
        <v>A-</v>
      </c>
      <c r="F48" s="65" t="str">
        <f ca="1">IF(F$46&lt;17,VLOOKUP(F$46,'Ratings and Rates'!$A$6:$D$20,3,0),'Ratings and Rates'!$C$7)</f>
        <v>A-</v>
      </c>
      <c r="G48" s="4"/>
      <c r="H48" s="4"/>
      <c r="I48" s="4"/>
      <c r="J48" s="4"/>
      <c r="K48" s="4"/>
    </row>
  </sheetData>
  <phoneticPr fontId="45" type="noConversion"/>
  <conditionalFormatting sqref="B12:F12 B17:F17 B22:F22 B27:F27">
    <cfRule type="cellIs" dxfId="5" priority="4" operator="equal">
      <formula>"LOW"</formula>
    </cfRule>
    <cfRule type="cellIs" dxfId="4" priority="5" operator="equal">
      <formula>"MEDIUM"</formula>
    </cfRule>
    <cfRule type="cellIs" dxfId="3" priority="6" operator="equal">
      <formula>"HIGH"</formula>
    </cfRule>
  </conditionalFormatting>
  <conditionalFormatting sqref="I10:M10 I17:M17 I22:M22 I27:M27">
    <cfRule type="cellIs" dxfId="2" priority="1" operator="equal">
      <formula>"WEAK"</formula>
    </cfRule>
    <cfRule type="cellIs" dxfId="1" priority="2" operator="equal">
      <formula>"AVERAGE"</formula>
    </cfRule>
    <cfRule type="cellIs" dxfId="0" priority="3" operator="equal">
      <formula>"STRONG"</formula>
    </cfRule>
  </conditionalFormatting>
  <pageMargins left="0.7" right="0.7" top="0.75" bottom="0.75" header="0.3" footer="0.3"/>
  <pageSetup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2" r:id="rId3" name="Scroll Bar 2">
              <controlPr defaultSize="0" autoPict="0">
                <anchor moveWithCells="1">
                  <from>
                    <xdr:col>2</xdr:col>
                    <xdr:colOff>361950</xdr:colOff>
                    <xdr:row>38</xdr:row>
                    <xdr:rowOff>95250</xdr:rowOff>
                  </from>
                  <to>
                    <xdr:col>5</xdr:col>
                    <xdr:colOff>406400</xdr:colOff>
                    <xdr:row>40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"/>
  <sheetViews>
    <sheetView showGridLines="0" workbookViewId="0">
      <selection activeCell="C7" sqref="C7"/>
    </sheetView>
  </sheetViews>
  <sheetFormatPr defaultColWidth="9" defaultRowHeight="12.5"/>
  <cols>
    <col min="1" max="1" width="11.26953125" customWidth="1"/>
    <col min="2" max="2" width="14.81640625" customWidth="1"/>
    <col min="3" max="3" width="12.26953125" customWidth="1"/>
    <col min="4" max="4" width="7.81640625" customWidth="1"/>
  </cols>
  <sheetData>
    <row r="1" spans="1:4" ht="18">
      <c r="A1" s="1" t="str">
        <f>Assumptions!D6</f>
        <v>Abercrombie &amp; Fitch Co.</v>
      </c>
      <c r="B1" s="2"/>
      <c r="C1" s="2"/>
      <c r="D1" s="2"/>
    </row>
    <row r="4" spans="1:4">
      <c r="A4" s="3" t="s">
        <v>311</v>
      </c>
      <c r="B4" s="3"/>
      <c r="C4" s="4"/>
      <c r="D4" s="4"/>
    </row>
    <row r="5" spans="1:4">
      <c r="A5" s="4"/>
      <c r="B5" s="4"/>
      <c r="C5" s="5"/>
      <c r="D5" s="5"/>
    </row>
    <row r="6" spans="1:4">
      <c r="A6" s="413" t="s">
        <v>312</v>
      </c>
      <c r="B6" s="414"/>
      <c r="C6" s="6" t="s">
        <v>313</v>
      </c>
      <c r="D6" s="7"/>
    </row>
    <row r="7" spans="1:4">
      <c r="A7" s="8">
        <v>17</v>
      </c>
      <c r="B7" s="9" t="s">
        <v>314</v>
      </c>
      <c r="C7" s="10" t="s">
        <v>315</v>
      </c>
      <c r="D7" s="11"/>
    </row>
    <row r="8" spans="1:4">
      <c r="A8" s="12">
        <v>16</v>
      </c>
      <c r="B8" s="13"/>
      <c r="C8" s="14" t="s">
        <v>316</v>
      </c>
      <c r="D8" s="15"/>
    </row>
    <row r="9" spans="1:4">
      <c r="A9" s="12">
        <v>15</v>
      </c>
      <c r="B9" s="13"/>
      <c r="C9" s="14" t="s">
        <v>317</v>
      </c>
      <c r="D9" s="15"/>
    </row>
    <row r="10" spans="1:4">
      <c r="A10" s="12">
        <v>14</v>
      </c>
      <c r="B10" s="13"/>
      <c r="C10" s="14" t="s">
        <v>318</v>
      </c>
      <c r="D10" s="15"/>
    </row>
    <row r="11" spans="1:4">
      <c r="A11" s="12">
        <v>13</v>
      </c>
      <c r="B11" s="13"/>
      <c r="C11" s="14" t="s">
        <v>319</v>
      </c>
      <c r="D11" s="15"/>
    </row>
    <row r="12" spans="1:4">
      <c r="A12" s="12">
        <v>12</v>
      </c>
      <c r="B12" s="13"/>
      <c r="C12" s="14" t="s">
        <v>320</v>
      </c>
      <c r="D12" s="15"/>
    </row>
    <row r="13" spans="1:4">
      <c r="A13" s="12">
        <v>11</v>
      </c>
      <c r="B13" s="13"/>
      <c r="C13" s="14" t="s">
        <v>321</v>
      </c>
      <c r="D13" s="15"/>
    </row>
    <row r="14" spans="1:4">
      <c r="A14" s="12">
        <v>10</v>
      </c>
      <c r="B14" s="13"/>
      <c r="C14" s="14" t="s">
        <v>322</v>
      </c>
      <c r="D14" s="15"/>
    </row>
    <row r="15" spans="1:4">
      <c r="A15" s="12">
        <v>9</v>
      </c>
      <c r="B15" s="13"/>
      <c r="C15" s="14" t="s">
        <v>323</v>
      </c>
      <c r="D15" s="15"/>
    </row>
    <row r="16" spans="1:4">
      <c r="A16" s="12">
        <v>8</v>
      </c>
      <c r="B16" s="13"/>
      <c r="C16" s="14" t="s">
        <v>324</v>
      </c>
      <c r="D16" s="15"/>
    </row>
    <row r="17" spans="1:4">
      <c r="A17" s="12">
        <v>7</v>
      </c>
      <c r="B17" s="13"/>
      <c r="C17" s="14" t="s">
        <v>325</v>
      </c>
      <c r="D17" s="15"/>
    </row>
    <row r="18" spans="1:4">
      <c r="A18" s="12">
        <v>6</v>
      </c>
      <c r="B18" s="13"/>
      <c r="C18" s="14" t="s">
        <v>326</v>
      </c>
      <c r="D18" s="15"/>
    </row>
    <row r="19" spans="1:4">
      <c r="A19" s="12">
        <v>5</v>
      </c>
      <c r="B19" s="13"/>
      <c r="C19" s="14" t="s">
        <v>327</v>
      </c>
      <c r="D19" s="15"/>
    </row>
    <row r="20" spans="1:4">
      <c r="A20" s="16">
        <v>4</v>
      </c>
      <c r="B20" s="17"/>
      <c r="C20" s="18" t="s">
        <v>328</v>
      </c>
      <c r="D20" s="19"/>
    </row>
  </sheetData>
  <mergeCells count="1">
    <mergeCell ref="A6:B6"/>
  </mergeCells>
  <phoneticPr fontId="4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Assumptions</vt:lpstr>
      <vt:lpstr>Income Statement</vt:lpstr>
      <vt:lpstr>Balance Sheet</vt:lpstr>
      <vt:lpstr>SCF</vt:lpstr>
      <vt:lpstr>WC Schedule</vt:lpstr>
      <vt:lpstr>Debt &amp; Shareholder Schedule</vt:lpstr>
      <vt:lpstr>Fixed Asset Schedule</vt:lpstr>
      <vt:lpstr>Valuation</vt:lpstr>
      <vt:lpstr>Risk Tables</vt:lpstr>
      <vt:lpstr>Rating Calculation</vt:lpstr>
      <vt:lpstr>Ratings and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Disclosure Worldscope Database Financials</dc:title>
  <dc:creator>jd48</dc:creator>
  <dc:description>Copyright Disclosure Inc, 1996</dc:description>
  <cp:lastModifiedBy>Jasmine Lin</cp:lastModifiedBy>
  <cp:lastPrinted>2012-01-09T02:30:00Z</cp:lastPrinted>
  <dcterms:created xsi:type="dcterms:W3CDTF">1996-06-27T13:43:00Z</dcterms:created>
  <dcterms:modified xsi:type="dcterms:W3CDTF">2026-03-06T15:50:11Z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46B68C36-D2E1-47CC-B574-CA6439F53E21</vt:lpwstr>
  </property>
  <property fmtid="{D5CDD505-2E9C-101B-9397-08002B2CF9AE}" pid="3" name="ICV">
    <vt:lpwstr>1232324F2B014692A4C8F5E93F28F18D_12</vt:lpwstr>
  </property>
  <property fmtid="{D5CDD505-2E9C-101B-9397-08002B2CF9AE}" pid="4" name="KSOProductBuildVer">
    <vt:lpwstr>2052-12.1.0.19302</vt:lpwstr>
  </property>
</Properties>
</file>